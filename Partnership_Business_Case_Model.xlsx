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cenarios" sheetId="3" state="visible" r:id="rId5"/>
    <sheet name="Sensitivity" sheetId="4" state="visible" r:id="rId6"/>
    <sheet name="Model" sheetId="5" state="visible" r:id="rId7"/>
    <sheet name="Sensitivity_Calc" sheetId="6" state="visible" r:id="rId8"/>
    <sheet name="Variance_Tracking" sheetId="7" state="visible" r:id="rId9"/>
    <sheet name="Mem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<sst xmlns="http://schemas.openxmlformats.org/spreadsheetml/2006/main" count="630" uniqueCount="222">
  <si>
    <t xml:space="preserve">Commercial Partnership Business Case — Live Sports Streaming Deal</t>
  </si>
  <si>
    <t xml:space="preserve">Hypothetical deal: a mid-tier sports league's out-of-market live-games package, benchmarked to NFL Sunday Ticket (YouTube) and MLS (Apple). Decision: Should the platform sign a 5-year exclusive license for a premium live-games package, and which deal structure maximizes long-term value?</t>
  </si>
  <si>
    <t xml:space="preserve">HOW TO USE</t>
  </si>
  <si>
    <t xml:space="preserve">1. Inputs holds every assumption (blue text on yellow) with its source or an ASSUMPTION label. Change any input to test a different view.</t>
  </si>
  <si>
    <t xml:space="preserve">2. Model, Sensitivity_Calc, Scenarios, Sensitivity, Variance_Tracking and Memo all update automatically — do not type over black formula cells.</t>
  </si>
  <si>
    <t xml:space="preserve">3. Review Scenarios (NPV / IRR / payback by structure and scenario) and Sensitivity (tornado) to form your Finance Point of View.</t>
  </si>
  <si>
    <t xml:space="preserve">4. Memo holds the one-page Finance Point of View; its key numbers are linked to the model. The narrative reflects the current inputs.</t>
  </si>
  <si>
    <t xml:space="preserve">TABS</t>
  </si>
  <si>
    <t xml:space="preserve">Inputs — scenario drivers (Downside/Base/Upside), general assumptions, deal terms, scenario weights, sensitivity settings.</t>
  </si>
  <si>
    <t xml:space="preserve">Model — full 5-year deal P&amp;L and cash flows for each scenario (three stacked blocks), for all three deal structures.</t>
  </si>
  <si>
    <t xml:space="preserve">Scenarios — NPV, IRR and payback summary; probability-weighted NPV; best structure per scenario.</t>
  </si>
  <si>
    <t xml:space="preserve">Sensitivity — one-at-a-time driver flex on the Base case with a tornado chart. Sensitivity_Calc holds the supporting calculations.</t>
  </si>
  <si>
    <t xml:space="preserve">Variance_Tracking — post-signing plan vs. actual for 8 quarters with threshold flags (hook for your existing variance engine).</t>
  </si>
  <si>
    <t xml:space="preserve">Memo — one-page Finance Point of View skeleton with linked numbers.</t>
  </si>
  <si>
    <t xml:space="preserve">DEAL STRUCTURES</t>
  </si>
  <si>
    <t xml:space="preserve">A. Flat license fee — fixed annual fee with escalator; platform keeps all revenue.</t>
  </si>
  <si>
    <t xml:space="preserve">B. Minimum guarantee + revenue share — platform pays the greater of the MG or X% of deal-attributable revenue.</t>
  </si>
  <si>
    <t xml:space="preserve">C. Pure revenue share — no guarantee; partner takes a higher % of deal-attributable revenue.</t>
  </si>
  <si>
    <t xml:space="preserve">KEY MODELING CHOICES (defend these in interviews)</t>
  </si>
  <si>
    <t xml:space="preserve">• Revenue share is paid on deal-attributable revenue (net subscription revenue + gross ad revenue), but the platform's value counts only INCREMENTAL revenue (after cannibalization of viewing that would have happened anyway).</t>
  </si>
  <si>
    <t xml:space="preserve">• Cash flows are pre-tax contribution, discounted at the Inputs discount rate; NPV uses end-of-year discounting.</t>
  </si>
  <si>
    <t xml:space="preserve">• Year 0 holds the upfront signing payment; IRR is only meaningful when there is an upfront outlay.</t>
  </si>
  <si>
    <t xml:space="preserve">• Payback = first year cumulative cash flow turns non-negative (simplified; assumes it stays positive).</t>
  </si>
  <si>
    <t xml:space="preserve">COLOR LEGEND</t>
  </si>
  <si>
    <t xml:space="preserve">Blue text on yellow = input you should change · Black = formula · Green = link from another sheet</t>
  </si>
  <si>
    <t xml:space="preserve">All currency in $mm unless noted; subscribers and viewing hours in millions.</t>
  </si>
  <si>
    <t xml:space="preserve">Inputs &amp; Assumptions</t>
  </si>
  <si>
    <t xml:space="preserve">Yellow cells = inputs (blue text). Every value is sourced or labeled ASSUMPTION in column F. Change any input and all tabs update.</t>
  </si>
  <si>
    <t xml:space="preserve">SCENARIO DRIVERS</t>
  </si>
  <si>
    <t xml:space="preserve">Unit</t>
  </si>
  <si>
    <t xml:space="preserve">Downside</t>
  </si>
  <si>
    <t xml:space="preserve">Base</t>
  </si>
  <si>
    <t xml:space="preserve">Upside</t>
  </si>
  <si>
    <t xml:space="preserve">Source / rationale</t>
  </si>
  <si>
    <t xml:space="preserve">Year-1 subscribers</t>
  </si>
  <si>
    <t xml:space="preserve">mm</t>
  </si>
  <si>
    <t xml:space="preserve">Benchmark: analyst est. ~1.5M NFL Sunday Ticket subs in its first YouTube season (Sportico, Oct 2023). Scaled down for a mid-tier league. ASSUMPTION.</t>
  </si>
  <si>
    <t xml:space="preserve">Annual growth (subs &amp; viewing hours)</t>
  </si>
  <si>
    <t xml:space="preserve">%</t>
  </si>
  <si>
    <t xml:space="preserve">ASSUMPTION. Downside = flat demand; upside = star-driven surge (MLS Season Pass signups jumped after Messi's 2023 arrival). Sunday Ticket hit record paid subs in 2025 (Variety, Feb 2026).</t>
  </si>
  <si>
    <t xml:space="preserve">Year-1 viewing hours</t>
  </si>
  <si>
    <t xml:space="preserve">mm hrs</t>
  </si>
  <si>
    <t xml:space="preserve">Derived: subscribers × ~100 hrs/season (2 games/wk × 2 hrs × 25 wks) + ~50M hrs from free-to-view games. ASSUMPTION.</t>
  </si>
  <si>
    <t xml:space="preserve">Ad CPM</t>
  </si>
  <si>
    <t xml:space="preserve">$</t>
  </si>
  <si>
    <t xml:space="preserve">Premium live sports $30–65 CPM; less-premium sports $15–35 (StreamLayer CTV live sports guide, Jan 2026). Avg CTV CPM ~$26 and falling (Adwave, 2026) → downside $30.</t>
  </si>
  <si>
    <t xml:space="preserve">Cannibalization of ad viewing</t>
  </si>
  <si>
    <t xml:space="preserve">ASSUMPTION — share of viewing hours fans would otherwise spend on other platform content.</t>
  </si>
  <si>
    <t xml:space="preserve">GENERAL ASSUMPTIONS</t>
  </si>
  <si>
    <t xml:space="preserve">Value</t>
  </si>
  <si>
    <t xml:space="preserve">Season subscription price</t>
  </si>
  <si>
    <t xml:space="preserve">$ / season</t>
  </si>
  <si>
    <t xml:space="preserve">Between MLS Season Pass $99/season (Front Office Sports, Nov 2025) and NFL Sunday Ticket $276 new-user / $480 returning (Sportico, Aug 2025).</t>
  </si>
  <si>
    <t xml:space="preserve">Platform / payment processing fees</t>
  </si>
  <si>
    <t xml:space="preserve">% of sub rev</t>
  </si>
  <si>
    <t xml:space="preserve">App-store subscription commission (Apple/Google, 15% standard for renewing subscriptions); web sign-ups avoid it. Verify on developer pages.</t>
  </si>
  <si>
    <t xml:space="preserve">Ad minutes per viewing hour</t>
  </si>
  <si>
    <t xml:space="preserve">min</t>
  </si>
  <si>
    <t xml:space="preserve">Streaming 1–9 min/hr vs. ~15 min/hr linear (StackAdapt, Mar 2026); live-sports streams carry natural game breaks.</t>
  </si>
  <si>
    <t xml:space="preserve">Ad spots per minute</t>
  </si>
  <si>
    <t xml:space="preserve">#</t>
  </si>
  <si>
    <t xml:space="preserve">30-second spots.</t>
  </si>
  <si>
    <t xml:space="preserve">Ad fill rate</t>
  </si>
  <si>
    <t xml:space="preserve">ASSUMPTION — premium live inventory typically sells through; haircut for unsold breaks.</t>
  </si>
  <si>
    <t xml:space="preserve">Production &amp; delivery cost, Year 1</t>
  </si>
  <si>
    <t xml:space="preserve">$mm</t>
  </si>
  <si>
    <t xml:space="preserve">ASSUMPTION — streaming delivery, production, rights operations for a mid-tier league.</t>
  </si>
  <si>
    <t xml:space="preserve">Cost escalator</t>
  </si>
  <si>
    <t xml:space="preserve">% / yr</t>
  </si>
  <si>
    <t xml:space="preserve">ASSUMPTION — inflation-level.</t>
  </si>
  <si>
    <t xml:space="preserve">Ongoing marketing</t>
  </si>
  <si>
    <t xml:space="preserve">% of incr. rev</t>
  </si>
  <si>
    <t xml:space="preserve">ASSUMPTION.</t>
  </si>
  <si>
    <t xml:space="preserve">Year-1 launch marketing</t>
  </si>
  <si>
    <t xml:space="preserve">ASSUMPTION — launch campaign scaled to deal size.</t>
  </si>
  <si>
    <t xml:space="preserve">Discount rate</t>
  </si>
  <si>
    <t xml:space="preserve">Alphabet WACC est. 12.74% (Aug 2026) vs. 10-yr median 8.56% (GuruFocus). 10% used as base; test the range.</t>
  </si>
  <si>
    <t xml:space="preserve">DEAL TERMS</t>
  </si>
  <si>
    <t xml:space="preserve">Notes</t>
  </si>
  <si>
    <t xml:space="preserve">A: Flat license fee, Year 1</t>
  </si>
  <si>
    <t xml:space="preserve">Between MLS–Apple (~$250M/yr: $2.5B over 10 yrs, PhoneArena) and far below NFL Sunday Ticket (~$2B/yr, CNBC Dec 2022). Domestic-only package → below MLS.</t>
  </si>
  <si>
    <t xml:space="preserve">A: Annual fee escalator</t>
  </si>
  <si>
    <t xml:space="preserve">4% annual escalators assumed in analyst Sunday Ticket estimates (Sportico, Oct 2023).</t>
  </si>
  <si>
    <t xml:space="preserve">B: Minimum guarantee per year</t>
  </si>
  <si>
    <t xml:space="preserve">ASSUMPTION — half the flat fee; partner trades certainty for upside.</t>
  </si>
  <si>
    <t xml:space="preserve">B: Partner revenue share</t>
  </si>
  <si>
    <t xml:space="preserve">% of deal rev</t>
  </si>
  <si>
    <t xml:space="preserve">ASSUMPTION — below YouTube's widely reported 55% creator ad share, since the MG already de-risks the partner.</t>
  </si>
  <si>
    <t xml:space="preserve">C: Partner revenue share (no MG)</t>
  </si>
  <si>
    <t xml:space="preserve">ASSUMPTION — partner takes more share in exchange for no guarantee.</t>
  </si>
  <si>
    <t xml:space="preserve">Upfront signing payment (Year 0, all structures)</t>
  </si>
  <si>
    <t xml:space="preserve">ASSUMPTION — rights deals often include a signing payment; set to 0 to exclude.</t>
  </si>
  <si>
    <t xml:space="preserve">SCENARIO WEIGHTS &amp; SETTINGS</t>
  </si>
  <si>
    <t xml:space="preserve">Downside probability</t>
  </si>
  <si>
    <t xml:space="preserve">ASSUMPTION</t>
  </si>
  <si>
    <t xml:space="preserve">Base probability</t>
  </si>
  <si>
    <t xml:space="preserve">Upside probability</t>
  </si>
  <si>
    <t xml:space="preserve">ASSUMPTION — weights must sum to 100%</t>
  </si>
  <si>
    <t xml:space="preserve">Sensitivity structure (1=A, 2=B, 3=C)</t>
  </si>
  <si>
    <t xml:space="preserve">Which structure the tornado analyzes</t>
  </si>
  <si>
    <t xml:space="preserve">Sensitivity flex (± % of Base value)</t>
  </si>
  <si>
    <t xml:space="preserve">Each driver moved up/down by this % one at a time</t>
  </si>
  <si>
    <t xml:space="preserve">Variance flag threshold</t>
  </si>
  <si>
    <t xml:space="preserve">Replace with your MAD-based thresholds when you connect your engine</t>
  </si>
  <si>
    <t xml:space="preserve">Weights check (must = 100%)</t>
  </si>
  <si>
    <t xml:space="preserve">Scenario Summary</t>
  </si>
  <si>
    <t xml:space="preserve">NPV ($mm)</t>
  </si>
  <si>
    <t xml:space="preserve">Prob-weighted</t>
  </si>
  <si>
    <t xml:space="preserve">A: Flat license fee</t>
  </si>
  <si>
    <t xml:space="preserve">B: MG + revenue share</t>
  </si>
  <si>
    <t xml:space="preserve">C: Pure revenue share</t>
  </si>
  <si>
    <t xml:space="preserve">Best structure (highest NPV)</t>
  </si>
  <si>
    <t xml:space="preserve">IRR</t>
  </si>
  <si>
    <t xml:space="preserve">Payback</t>
  </si>
  <si>
    <t xml:space="preserve">Reading this: compare how each structure performs across scenarios, not just in Base. A structure that wins Base but loses badly in Downside shifts risk to the platform — that trade-off is the core of your Finance POV.</t>
  </si>
  <si>
    <t xml:space="preserve">Sensitivity (Tornado) — Base case, one driver at a time</t>
  </si>
  <si>
    <t xml:space="preserve">Base NPV ($mm)</t>
  </si>
  <si>
    <t xml:space="preserve">Driver</t>
  </si>
  <si>
    <t xml:space="preserve">Low value</t>
  </si>
  <si>
    <t xml:space="preserve">High value</t>
  </si>
  <si>
    <t xml:space="preserve">NPV @ Low</t>
  </si>
  <si>
    <t xml:space="preserve">NPV @ High</t>
  </si>
  <si>
    <t xml:space="preserve">Δ vs Base (Low)</t>
  </si>
  <si>
    <t xml:space="preserve">Δ vs Base (High)</t>
  </si>
  <si>
    <t xml:space="preserve">Swing</t>
  </si>
  <si>
    <t xml:space="preserve">Cannibalization</t>
  </si>
  <si>
    <t xml:space="preserve">Annual growth</t>
  </si>
  <si>
    <t xml:space="preserve">Largest NPV swing driver</t>
  </si>
  <si>
    <t xml:space="preserve">Approx. breakeven Year-1 subscribers (mm)</t>
  </si>
  <si>
    <t xml:space="preserve">Linear interpolation from the subscriber flex — the Year-1 subscriber level where NPV ≈ 0. Approximate for Structure B (MG creates a kink).</t>
  </si>
  <si>
    <t xml:space="preserve">Drivers are ordered by swing at current inputs (largest first). If you change inputs materially, re-check the order. Viewing hours and CPM show identical swings because ad revenue is proportional to both.</t>
  </si>
  <si>
    <t xml:space="preserve">Deal Model by Scenario ($mm unless noted)</t>
  </si>
  <si>
    <t xml:space="preserve">All cells are formulas driven by Inputs. Structures: A = flat fee, B = minimum guarantee + rev share, C = pure rev share.</t>
  </si>
  <si>
    <t xml:space="preserve">DOWNSIDE SCENARIO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</si>
  <si>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</si>
  <si>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</si>
  <si>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</si>
  <si>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</si>
  <si>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</si>
  <si>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</si>
  <si>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Subscribers (mm)</t>
  </si>
  <si>
    <t xml:space="preserve">Gross subscription revenue</t>
  </si>
  <si>
    <t xml:space="preserve">Platform / payment fees</t>
  </si>
  <si>
    <t xml:space="preserve">Net subscription revenue</t>
  </si>
  <si>
    <t xml:space="preserve">Viewing hours (mm)</t>
  </si>
  <si>
    <t xml:space="preserve">Ad impressions (mm)</t>
  </si>
  <si>
    <t xml:space="preserve">Gross ad revenue</t>
  </si>
  <si>
    <t xml:space="preserve">Deal-attributable revenue (rev-share base)</t>
  </si>
  <si>
    <t xml:space="preserve">Less: cannibalized ad revenue</t>
  </si>
  <si>
    <t xml:space="preserve">Incremental revenue to platform</t>
  </si>
  <si>
    <t xml:space="preserve">Production &amp; delivery</t>
  </si>
  <si>
    <t xml:space="preserve">Marketing</t>
  </si>
  <si>
    <t xml:space="preserve">Contribution before partner payments</t>
  </si>
  <si>
    <t xml:space="preserve">Partner payment — A: Flat fee</t>
  </si>
  <si>
    <t xml:space="preserve">Partner payment — B: MG + share</t>
  </si>
  <si>
    <t xml:space="preserve">Partner payment — C: Rev share</t>
  </si>
  <si>
    <t xml:space="preserve">Net cash flow — A</t>
  </si>
  <si>
    <t xml:space="preserve">Net cash flow — B</t>
  </si>
  <si>
    <t xml:space="preserve">Net cash flow — C</t>
  </si>
  <si>
    <t xml:space="preserve">Cumulative cash flow — A</t>
  </si>
  <si>
    <t xml:space="preserve">Cumulative cash flow — B</t>
  </si>
  <si>
    <t xml:space="preserve">Cumulative cash flow — C</t>
  </si>
  <si>
    <t xml:space="preserve">BASE SCENARIO</t>
  </si>
  <si>
    <t xml:space="preserve">UPSIDE SCENARIO</t>
  </si>
  <si>
    <t xml:space="preserve">Sensitivity supporting calculations — Base case with one driver flexed at a time</t>
  </si>
  <si>
    <t xml:space="preserve">YEAR-1 SUBSCRIBERS — LOW</t>
  </si>
  <si>
    <t xml:space="preserve">YEAR-1 SUBSCRIBERS — HIGH</t>
  </si>
  <si>
    <t xml:space="preserve">ANNUAL GROWTH — LOW</t>
  </si>
  <si>
    <t xml:space="preserve">ANNUAL GROWTH — HIGH</t>
  </si>
  <si>
    <t xml:space="preserve">YEAR-1 VIEWING HOURS — LOW</t>
  </si>
  <si>
    <t xml:space="preserve">YEAR-1 VIEWING HOURS — HIGH</t>
  </si>
  <si>
    <t xml:space="preserve">AD CPM — LOW</t>
  </si>
  <si>
    <t xml:space="preserve">AD CPM — HIGH</t>
  </si>
  <si>
    <t xml:space="preserve">CANNIBALIZATION — LOW</t>
  </si>
  <si>
    <t xml:space="preserve">CANNIBALIZATION — HIGH</t>
  </si>
  <si>
    <t xml:space="preserve">Post-Signing Performance Tracking — Plan (Base business case) vs. Actual</t>
  </si>
  <si>
    <t xml:space="preserve">Plan = Base-case annual incremental revenue ÷ 4. Actuals are SIMULATED (Plan × (1 + shock)) — replace with real data or feed this tab into your variance engine.</t>
  </si>
  <si>
    <t xml:space="preserve">Quarter</t>
  </si>
  <si>
    <t xml:space="preserve">Plan: incr. revenue ($mm)</t>
  </si>
  <si>
    <t xml:space="preserve">Simulated shock (input)</t>
  </si>
  <si>
    <t xml:space="preserve">Actual ($mm)</t>
  </si>
  <si>
    <t xml:space="preserve">Variance ($mm)</t>
  </si>
  <si>
    <t xml:space="preserve">Variance %</t>
  </si>
  <si>
    <t xml:space="preserve">Flag</t>
  </si>
  <si>
    <t xml:space="preserve">Driver commentary (from event log)</t>
  </si>
  <si>
    <t xml:space="preserve">Status</t>
  </si>
  <si>
    <t xml:space="preserve">Q1</t>
  </si>
  <si>
    <t xml:space="preserve">Q2</t>
  </si>
  <si>
    <t xml:space="preserve">Q3</t>
  </si>
  <si>
    <t xml:space="preserve">Fewer marquee games scheduled in Q3 (example)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</si>
  <si>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</si>
  <si>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</si>
  <si>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</si>
  <si>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</si>
  <si>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</si>
  <si>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Total</t>
  </si>
  <si>
    <t xml:space="preserve">Flags</t>
  </si>
  <si>
    <t xml:space="preserve">Unexplained</t>
  </si>
  <si>
    <t xml:space="preserve">Finance Point of View — Live Sports Package Partnership</t>
  </si>
  <si>
    <t xml:space="preserve">One page. Numbers in column B are linked to the model; replace bracketed text in column C with your conclusions.</t>
  </si>
  <si>
    <t xml:space="preserve">1. RECOMMENDATION</t>
  </si>
  <si>
    <t xml:space="preserve">Sign only under Structure B (minimum guarantee + revenue share), with a lower or step-up MG and a performance exit after Year 2. B is the only structure with positive Base and probability-weighted NPV; the flat fee destroys value unless the Upside materializes, and pure revenue share hands the partner too much of the upside.</t>
  </si>
  <si>
    <t xml:space="preserve">Best structure — Base</t>
  </si>
  <si>
    <t xml:space="preserve">Best structure — Prob-weighted</t>
  </si>
  <si>
    <t xml:space="preserve">2. KEY NUMBERS</t>
  </si>
  <si>
    <t xml:space="preserve">Prob-weighted NPV — A</t>
  </si>
  <si>
    <t xml:space="preserve">Prob-weighted NPV — B</t>
  </si>
  <si>
    <t xml:space="preserve">Prob-weighted NPV — C</t>
  </si>
  <si>
    <t xml:space="preserve">Base NPV — B</t>
  </si>
  <si>
    <t xml:space="preserve">Downside NPV — B</t>
  </si>
  <si>
    <t xml:space="preserve">In the Downside, deal contribution covers well under half of the MG each year — every structure loses money, so downside protection must come from contract terms.</t>
  </si>
  <si>
    <t xml:space="preserve">Base payback — B</t>
  </si>
  <si>
    <t xml:space="preserve">Breakeven Year-1 subscribers (mm)</t>
  </si>
  <si>
    <t xml:space="preserve">Roughly a quarter below the Base case of 1.0M — a real but thin cushion.</t>
  </si>
  <si>
    <t xml:space="preserve">Largest sensitivity driver</t>
  </si>
  <si>
    <t xml:space="preserve">Subscribers drive both subscription revenue and whether revenue share exceeds the MG. It is also the least certain input, so it should anchor deal protections.</t>
  </si>
  <si>
    <t xml:space="preserve">3. WHAT HAS TO BE TRUE</t>
  </si>
  <si>
    <t xml:space="preserve">(1) Year-1 subscribers above the breakeven level; (2) live-sports CPMs hold in the premium range rather than compressing toward the ~$26 CTV average; (3) most viewing is incremental (cannibalization near 25% or lower).</t>
  </si>
  <si>
    <t xml:space="preserve">4. RISKS &amp; NEGOTIATION LEVERS</t>
  </si>
  <si>
    <t xml:space="preserve">Key risk: MG exposure in the Downside. Levers: lower Year-1/2 MG stepping up with subscriber milestones; exit or renegotiation right if Year-2 subscribers miss plan; trade a longer term for a lower revenue share. Strategic value (engagement, cross-sell to other subscriptions) is excluded and would only strengthen the case.</t>
  </si>
  <si>
    <t xml:space="preserve">5. TRACKING PLAN</t>
  </si>
  <si>
    <t xml:space="preserve">Report quarterly vs. the business case: subscribers, viewing hours, CPM, incremental revenue. Flag variances beyond threshold; require a documented driver before commentary (see Variance_Tracking and variance_tracking.py).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</si>
</sst>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0.0%;\(0.0%\);\-"/>
    <numFmt numFmtId="167" formatCode="#,##0;\(#,##0\);\-"/>
    <numFmt numFmtId="168" formatCode="\$#,##0;&quot;($&quot;#,##0\);\-"/>
    <numFmt numFmtId="169" formatCode="0"/>
    <numFmt numFmtId="170" formatCode="@"/>
    <numFmt numFmtId="171" formatCode="\$#,##0.0;&quot;($&quot;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NPV by structure and scenario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Scenarios!B3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Scenarios!$A$4:$A$6</c:f>
              <c:strCache>
                <c:ptCount val="3"/>
                <c:pt idx="0">
                  <c:v>A: Flat license fee</c:v>
                </c:pt>
                <c:pt idx="1">
                  <c:v>B: MG + revenue share</c:v>
                </c:pt>
                <c:pt idx="2">
                  <c:v>C: Pure revenue share</c:v>
                </c:pt>
              </c:strCache>
            </c:strRef>
          </c:cat>
          <c:val>
            <c:numRef>
              <c:f>Scenarios!$B$4:$B$6</c:f>
              <c:numCache>
                <c:formatCode>\$#,##0;"($"#,##0\);\-</c:formatCode>
                <c:ptCount val="3"/>
                <c:pt idx="0">
                  <c:v>-734.224288272794</c:v>
                </c:pt>
                <c:pt idx="1">
                  <c:v>-298.122064753536</c:v>
                </c:pt>
                <c:pt idx="2">
                  <c:v>-212.994340203177</c:v>
                </c:pt>
              </c:numCache>
            </c:numRef>
          </c:val>
        </c:ser>
        <c:ser>
          <c:idx val="1"/>
          <c:order val="1"/>
          <c:tx>
            <c:strRef>
              <c:f>Scenarios!C3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Scenarios!$A$4:$A$6</c:f>
              <c:strCache>
                <c:ptCount val="3"/>
                <c:pt idx="0">
                  <c:v>A: Flat license fee</c:v>
                </c:pt>
                <c:pt idx="1">
                  <c:v>B: MG + revenue share</c:v>
                </c:pt>
                <c:pt idx="2">
                  <c:v>C: Pure revenue share</c:v>
                </c:pt>
              </c:strCache>
            </c:strRef>
          </c:cat>
          <c:val>
            <c:numRef>
              <c:f>Scenarios!$C$4:$C$6</c:f>
              <c:numCache>
                <c:formatCode>\$#,##0;"($"#,##0\);\-</c:formatCode>
                <c:ptCount val="3"/>
                <c:pt idx="0">
                  <c:v>-303.163113107773</c:v>
                </c:pt>
                <c:pt idx="1">
                  <c:v>101.483246437961</c:v>
                </c:pt>
                <c:pt idx="2">
                  <c:v>-91.5410488126121</c:v>
                </c:pt>
              </c:numCache>
            </c:numRef>
          </c:val>
        </c:ser>
        <c:ser>
          <c:idx val="2"/>
          <c:order val="2"/>
          <c:tx>
            <c:strRef>
              <c:f>Scenarios!D3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Scenarios!$A$4:$A$6</c:f>
              <c:strCache>
                <c:ptCount val="3"/>
                <c:pt idx="0">
                  <c:v>A: Flat license fee</c:v>
                </c:pt>
                <c:pt idx="1">
                  <c:v>B: MG + revenue share</c:v>
                </c:pt>
                <c:pt idx="2">
                  <c:v>C: Pure revenue share</c:v>
                </c:pt>
              </c:strCache>
            </c:strRef>
          </c:cat>
          <c:val>
            <c:numRef>
              <c:f>Scenarios!$D$4:$D$6</c:f>
              <c:numCache>
                <c:formatCode>\$#,##0;"($"#,##0\);\-</c:formatCode>
                <c:ptCount val="3"/>
                <c:pt idx="0">
                  <c:v>568.997604232316</c:v>
                </c:pt>
                <c:pt idx="1">
                  <c:v>584.480264111795</c:v>
                </c:pt>
                <c:pt idx="2">
                  <c:v>184.631143821483</c:v>
                </c:pt>
              </c:numCache>
            </c:numRef>
          </c:val>
        </c:ser>
        <c:gapWidth val="150"/>
        <c:overlap val="0"/>
        <c:axId val="20531953"/>
        <c:axId val="7596007"/>
      </c:barChart>
      <c:catAx>
        <c:axId val="20531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6007"/>
        <c:crosses val="autoZero"/>
        <c:auto val="1"/>
        <c:lblAlgn val="ctr"/>
        <c:lblOffset val="100"/>
        <c:noMultiLvlLbl val="0"/>
      </c:catAx>
      <c:valAx>
        <c:axId val="7596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31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NPV change vs. Base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Sensitivity!F5</c:f>
              <c:strCache>
                <c:ptCount val="1"/>
                <c:pt idx="0">
                  <c:v>Δ vs Base (Low)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Sensitivity!$A$6:$A$10</c:f>
              <c:strCache>
                <c:ptCount val="5"/>
                <c:pt idx="0">
                  <c:v>Year-1 subscribers</c:v>
                </c:pt>
                <c:pt idx="1">
                  <c:v>Year-1 viewing hours</c:v>
                </c:pt>
                <c:pt idx="2">
                  <c:v>Ad CPM</c:v>
                </c:pt>
                <c:pt idx="3">
                  <c:v>Cannibalization</c:v>
                </c:pt>
                <c:pt idx="4">
                  <c:v>Annual growth</c:v>
                </c:pt>
              </c:strCache>
            </c:strRef>
          </c:cat>
          <c:val>
            <c:numRef>
              <c:f>Sensitivity!$F$6:$F$10</c:f>
              <c:numCache>
                <c:formatCode>\$#,##0;"($"#,##0\);\-</c:formatCode>
                <c:ptCount val="5"/>
                <c:pt idx="0">
                  <c:v>-80.1199996781143</c:v>
                </c:pt>
                <c:pt idx="1">
                  <c:v>-42.4671026709303</c:v>
                </c:pt>
                <c:pt idx="2">
                  <c:v>-42.4671026709303</c:v>
                </c:pt>
                <c:pt idx="3">
                  <c:v>20.5657084915461</c:v>
                </c:pt>
                <c:pt idx="4">
                  <c:v>-13.2593552019284</c:v>
                </c:pt>
              </c:numCache>
            </c:numRef>
          </c:val>
        </c:ser>
        <c:ser>
          <c:idx val="1"/>
          <c:order val="1"/>
          <c:tx>
            <c:strRef>
              <c:f>Sensitivity!G5</c:f>
              <c:strCache>
                <c:ptCount val="1"/>
                <c:pt idx="0">
                  <c:v>Δ vs Base (High)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Sensitivity!$A$6:$A$10</c:f>
              <c:strCache>
                <c:ptCount val="5"/>
                <c:pt idx="0">
                  <c:v>Year-1 subscribers</c:v>
                </c:pt>
                <c:pt idx="1">
                  <c:v>Year-1 viewing hours</c:v>
                </c:pt>
                <c:pt idx="2">
                  <c:v>Ad CPM</c:v>
                </c:pt>
                <c:pt idx="3">
                  <c:v>Cannibalization</c:v>
                </c:pt>
                <c:pt idx="4">
                  <c:v>Annual growth</c:v>
                </c:pt>
              </c:strCache>
            </c:strRef>
          </c:cat>
          <c:val>
            <c:numRef>
              <c:f>Sensitivity!$G$6:$G$10</c:f>
              <c:numCache>
                <c:formatCode>\$#,##0;"($"#,##0\);\-</c:formatCode>
                <c:ptCount val="5"/>
                <c:pt idx="0">
                  <c:v>66.2824639906613</c:v>
                </c:pt>
                <c:pt idx="1">
                  <c:v>34.0562957588342</c:v>
                </c:pt>
                <c:pt idx="2">
                  <c:v>34.0562957588342</c:v>
                </c:pt>
                <c:pt idx="3">
                  <c:v>-20.5657084915462</c:v>
                </c:pt>
                <c:pt idx="4">
                  <c:v>13.1117556686921</c:v>
                </c:pt>
              </c:numCache>
            </c:numRef>
          </c:val>
        </c:ser>
        <c:gapWidth val="150"/>
        <c:overlap val="100"/>
        <c:axId val="61640479"/>
        <c:axId val="90560189"/>
      </c:barChart>
      <c:catAx>
        <c:axId val="616404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60189"/>
        <c:crosses val="autoZero"/>
        <c:auto val="1"/>
        <c:lblAlgn val="ctr"/>
        <c:lblOffset val="100"/>
        <c:noMultiLvlLbl val="0"/>
      </c:catAx>
      <c:valAx>
        <c:axId val="90560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404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160920</xdr:rowOff>
    </xdr:from>
    <xdr:to>
      <xdr:col>3</xdr:col>
      <xdr:colOff>1107720</xdr:colOff>
      <xdr:row>36</xdr:row>
      <xdr:rowOff>182880</xdr:rowOff>
    </xdr:to>
    <xdr:graphicFrame>
      <xdr:nvGraphicFramePr>
        <xdr:cNvPr id="0" name="Chart 1"/>
        <xdr:cNvGraphicFramePr/>
      </xdr:nvGraphicFramePr>
      <xdr:xfrm>
        <a:off x="0" y="4191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160920</xdr:rowOff>
    </xdr:from>
    <xdr:to>
      <xdr:col>4</xdr:col>
      <xdr:colOff>543600</xdr:colOff>
      <xdr:row>29</xdr:row>
      <xdr:rowOff>182880</xdr:rowOff>
    </xdr:to>
    <xdr:graphicFrame>
      <xdr:nvGraphicFramePr>
        <xdr:cNvPr id="1" name="Chart 1"/>
        <xdr:cNvGraphicFramePr/>
      </xdr:nvGraphicFramePr>
      <xdr:xfrm>
        <a:off x="0" y="2857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35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23.8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4" t="s">
        <v>26</v>
      </c>
    </row>
    <row r="2" customFormat="false" ht="15" hidden="false" customHeight="false" outlineLevel="0" collapsed="false">
      <c r="A2" s="5" t="s">
        <v>27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</row>
    <row r="5" customFormat="false" ht="39.55" hidden="false" customHeight="false" outlineLevel="0" collapsed="false">
      <c r="A5" s="7" t="s">
        <v>34</v>
      </c>
      <c r="B5" s="7" t="s">
        <v>35</v>
      </c>
      <c r="C5" s="8" t="n">
        <v>0.6</v>
      </c>
      <c r="D5" s="8" t="n">
        <v>1</v>
      </c>
      <c r="E5" s="8" t="n">
        <v>1.5</v>
      </c>
      <c r="F5" s="9" t="s">
        <v>36</v>
      </c>
    </row>
    <row r="6" customFormat="false" ht="39.55" hidden="false" customHeight="false" outlineLevel="0" collapsed="false">
      <c r="A6" s="7" t="s">
        <v>37</v>
      </c>
      <c r="B6" s="7" t="s">
        <v>38</v>
      </c>
      <c r="C6" s="10" t="n">
        <v>0.03</v>
      </c>
      <c r="D6" s="10" t="n">
        <v>0.08</v>
      </c>
      <c r="E6" s="10" t="n">
        <v>0.15</v>
      </c>
      <c r="F6" s="9" t="s">
        <v>39</v>
      </c>
    </row>
    <row r="7" customFormat="false" ht="26.85" hidden="false" customHeight="false" outlineLevel="0" collapsed="false">
      <c r="A7" s="7" t="s">
        <v>40</v>
      </c>
      <c r="B7" s="7" t="s">
        <v>41</v>
      </c>
      <c r="C7" s="11" t="n">
        <v>90</v>
      </c>
      <c r="D7" s="11" t="n">
        <v>150</v>
      </c>
      <c r="E7" s="11" t="n">
        <v>225</v>
      </c>
      <c r="F7" s="9" t="s">
        <v>42</v>
      </c>
    </row>
    <row r="8" customFormat="false" ht="39.55" hidden="false" customHeight="false" outlineLevel="0" collapsed="false">
      <c r="A8" s="7" t="s">
        <v>43</v>
      </c>
      <c r="B8" s="7" t="s">
        <v>44</v>
      </c>
      <c r="C8" s="12" t="n">
        <v>30</v>
      </c>
      <c r="D8" s="12" t="n">
        <v>40</v>
      </c>
      <c r="E8" s="12" t="n">
        <v>55</v>
      </c>
      <c r="F8" s="9" t="s">
        <v>45</v>
      </c>
    </row>
    <row r="9" customFormat="false" ht="26.85" hidden="false" customHeight="false" outlineLevel="0" collapsed="false">
      <c r="A9" s="7" t="s">
        <v>46</v>
      </c>
      <c r="B9" s="7" t="s">
        <v>38</v>
      </c>
      <c r="C9" s="10" t="n">
        <v>0.35</v>
      </c>
      <c r="D9" s="10" t="n">
        <v>0.25</v>
      </c>
      <c r="E9" s="10" t="n">
        <v>0.15</v>
      </c>
      <c r="F9" s="9" t="s">
        <v>47</v>
      </c>
    </row>
    <row r="11" customFormat="false" ht="15" hidden="false" customHeight="false" outlineLevel="0" collapsed="false">
      <c r="A11" s="6" t="s">
        <v>48</v>
      </c>
      <c r="B11" s="6" t="s">
        <v>29</v>
      </c>
      <c r="C11" s="6" t="s">
        <v>49</v>
      </c>
      <c r="D11" s="13"/>
      <c r="E11" s="13"/>
      <c r="F11" s="6" t="s">
        <v>33</v>
      </c>
    </row>
    <row r="12" customFormat="false" ht="39.55" hidden="false" customHeight="false" outlineLevel="0" collapsed="false">
      <c r="A12" s="7" t="s">
        <v>50</v>
      </c>
      <c r="B12" s="7" t="s">
        <v>51</v>
      </c>
      <c r="C12" s="12" t="n">
        <v>150</v>
      </c>
      <c r="F12" s="9" t="s">
        <v>52</v>
      </c>
    </row>
    <row r="13" customFormat="false" ht="26.85" hidden="false" customHeight="false" outlineLevel="0" collapsed="false">
      <c r="A13" s="7" t="s">
        <v>53</v>
      </c>
      <c r="B13" s="7" t="s">
        <v>54</v>
      </c>
      <c r="C13" s="10" t="n">
        <v>0.15</v>
      </c>
      <c r="F13" s="9" t="s">
        <v>55</v>
      </c>
    </row>
    <row r="14" customFormat="false" ht="26.85" hidden="false" customHeight="false" outlineLevel="0" collapsed="false">
      <c r="A14" s="7" t="s">
        <v>56</v>
      </c>
      <c r="B14" s="7" t="s">
        <v>57</v>
      </c>
      <c r="C14" s="11" t="n">
        <v>10</v>
      </c>
      <c r="F14" s="9" t="s">
        <v>58</v>
      </c>
    </row>
    <row r="15" customFormat="false" ht="15" hidden="false" customHeight="false" outlineLevel="0" collapsed="false">
      <c r="A15" s="7" t="s">
        <v>59</v>
      </c>
      <c r="B15" s="7" t="s">
        <v>60</v>
      </c>
      <c r="C15" s="11" t="n">
        <v>2</v>
      </c>
      <c r="F15" s="9" t="s">
        <v>61</v>
      </c>
    </row>
    <row r="16" customFormat="false" ht="26.85" hidden="false" customHeight="false" outlineLevel="0" collapsed="false">
      <c r="A16" s="7" t="s">
        <v>62</v>
      </c>
      <c r="B16" s="7" t="s">
        <v>38</v>
      </c>
      <c r="C16" s="10" t="n">
        <v>0.85</v>
      </c>
      <c r="F16" s="9" t="s">
        <v>63</v>
      </c>
    </row>
    <row r="17" customFormat="false" ht="26.85" hidden="false" customHeight="false" outlineLevel="0" collapsed="false">
      <c r="A17" s="7" t="s">
        <v>64</v>
      </c>
      <c r="B17" s="7" t="s">
        <v>65</v>
      </c>
      <c r="C17" s="12" t="n">
        <v>60</v>
      </c>
      <c r="F17" s="9" t="s">
        <v>66</v>
      </c>
    </row>
    <row r="18" customFormat="false" ht="15" hidden="false" customHeight="false" outlineLevel="0" collapsed="false">
      <c r="A18" s="7" t="s">
        <v>67</v>
      </c>
      <c r="B18" s="7" t="s">
        <v>68</v>
      </c>
      <c r="C18" s="10" t="n">
        <v>0.03</v>
      </c>
      <c r="F18" s="9" t="s">
        <v>69</v>
      </c>
    </row>
    <row r="19" customFormat="false" ht="15" hidden="false" customHeight="false" outlineLevel="0" collapsed="false">
      <c r="A19" s="7" t="s">
        <v>70</v>
      </c>
      <c r="B19" s="7" t="s">
        <v>71</v>
      </c>
      <c r="C19" s="10" t="n">
        <v>0.08</v>
      </c>
      <c r="F19" s="9" t="s">
        <v>72</v>
      </c>
    </row>
    <row r="20" customFormat="false" ht="15" hidden="false" customHeight="false" outlineLevel="0" collapsed="false">
      <c r="A20" s="7" t="s">
        <v>73</v>
      </c>
      <c r="B20" s="7" t="s">
        <v>65</v>
      </c>
      <c r="C20" s="12" t="n">
        <v>50</v>
      </c>
      <c r="F20" s="9" t="s">
        <v>74</v>
      </c>
    </row>
    <row r="21" customFormat="false" ht="26.85" hidden="false" customHeight="false" outlineLevel="0" collapsed="false">
      <c r="A21" s="7" t="s">
        <v>75</v>
      </c>
      <c r="B21" s="7" t="s">
        <v>38</v>
      </c>
      <c r="C21" s="10" t="n">
        <v>0.1</v>
      </c>
      <c r="F21" s="9" t="s">
        <v>76</v>
      </c>
    </row>
    <row r="23" customFormat="false" ht="15" hidden="false" customHeight="false" outlineLevel="0" collapsed="false">
      <c r="A23" s="6" t="s">
        <v>77</v>
      </c>
      <c r="B23" s="6" t="s">
        <v>29</v>
      </c>
      <c r="C23" s="6" t="s">
        <v>49</v>
      </c>
      <c r="D23" s="13"/>
      <c r="E23" s="13"/>
      <c r="F23" s="6" t="s">
        <v>78</v>
      </c>
    </row>
    <row r="24" customFormat="false" ht="39.55" hidden="false" customHeight="false" outlineLevel="0" collapsed="false">
      <c r="A24" s="7" t="s">
        <v>79</v>
      </c>
      <c r="B24" s="7" t="s">
        <v>65</v>
      </c>
      <c r="C24" s="12" t="n">
        <v>200</v>
      </c>
      <c r="F24" s="9" t="s">
        <v>80</v>
      </c>
    </row>
    <row r="25" customFormat="false" ht="26.85" hidden="false" customHeight="false" outlineLevel="0" collapsed="false">
      <c r="A25" s="7" t="s">
        <v>81</v>
      </c>
      <c r="B25" s="7" t="s">
        <v>38</v>
      </c>
      <c r="C25" s="10" t="n">
        <v>0.04</v>
      </c>
      <c r="F25" s="9" t="s">
        <v>82</v>
      </c>
    </row>
    <row r="26" customFormat="false" ht="15" hidden="false" customHeight="false" outlineLevel="0" collapsed="false">
      <c r="A26" s="7" t="s">
        <v>83</v>
      </c>
      <c r="B26" s="7" t="s">
        <v>65</v>
      </c>
      <c r="C26" s="12" t="n">
        <v>100</v>
      </c>
      <c r="F26" s="9" t="s">
        <v>84</v>
      </c>
    </row>
    <row r="27" customFormat="false" ht="26.85" hidden="false" customHeight="false" outlineLevel="0" collapsed="false">
      <c r="A27" s="7" t="s">
        <v>85</v>
      </c>
      <c r="B27" s="7" t="s">
        <v>86</v>
      </c>
      <c r="C27" s="10" t="n">
        <v>0.4</v>
      </c>
      <c r="F27" s="9" t="s">
        <v>87</v>
      </c>
    </row>
    <row r="28" customFormat="false" ht="15" hidden="false" customHeight="false" outlineLevel="0" collapsed="false">
      <c r="A28" s="7" t="s">
        <v>88</v>
      </c>
      <c r="B28" s="7" t="s">
        <v>86</v>
      </c>
      <c r="C28" s="10" t="n">
        <v>0.6</v>
      </c>
      <c r="F28" s="9" t="s">
        <v>89</v>
      </c>
    </row>
    <row r="29" customFormat="false" ht="26.85" hidden="false" customHeight="false" outlineLevel="0" collapsed="false">
      <c r="A29" s="7" t="s">
        <v>90</v>
      </c>
      <c r="B29" s="7" t="s">
        <v>65</v>
      </c>
      <c r="C29" s="12" t="n">
        <v>25</v>
      </c>
      <c r="F29" s="9" t="s">
        <v>91</v>
      </c>
    </row>
    <row r="30" customFormat="false" ht="15" hidden="false" customHeight="false" outlineLevel="0" collapsed="false">
      <c r="A30" s="6" t="s">
        <v>92</v>
      </c>
      <c r="B30" s="13"/>
      <c r="C30" s="6" t="s">
        <v>49</v>
      </c>
      <c r="D30" s="13"/>
      <c r="E30" s="13"/>
      <c r="F30" s="13"/>
    </row>
    <row r="31" customFormat="false" ht="15" hidden="false" customHeight="false" outlineLevel="0" collapsed="false">
      <c r="A31" s="7" t="s">
        <v>93</v>
      </c>
      <c r="C31" s="10" t="n">
        <v>0.25</v>
      </c>
      <c r="F31" s="9" t="s">
        <v>94</v>
      </c>
    </row>
    <row r="32" customFormat="false" ht="15" hidden="false" customHeight="false" outlineLevel="0" collapsed="false">
      <c r="A32" s="7" t="s">
        <v>95</v>
      </c>
      <c r="C32" s="10" t="n">
        <v>0.5</v>
      </c>
      <c r="F32" s="9" t="s">
        <v>94</v>
      </c>
    </row>
    <row r="33" customFormat="false" ht="15" hidden="false" customHeight="false" outlineLevel="0" collapsed="false">
      <c r="A33" s="7" t="s">
        <v>96</v>
      </c>
      <c r="C33" s="10" t="n">
        <v>0.25</v>
      </c>
      <c r="F33" s="9" t="s">
        <v>97</v>
      </c>
    </row>
    <row r="34" customFormat="false" ht="15" hidden="false" customHeight="false" outlineLevel="0" collapsed="false">
      <c r="A34" s="7" t="s">
        <v>98</v>
      </c>
      <c r="C34" s="14" t="n">
        <v>2</v>
      </c>
      <c r="F34" s="9" t="s">
        <v>99</v>
      </c>
    </row>
    <row r="35" customFormat="false" ht="15" hidden="false" customHeight="false" outlineLevel="0" collapsed="false">
      <c r="A35" s="7" t="s">
        <v>100</v>
      </c>
      <c r="C35" s="10" t="n">
        <v>0.2</v>
      </c>
      <c r="F35" s="9" t="s">
        <v>101</v>
      </c>
    </row>
    <row r="36" customFormat="false" ht="15" hidden="false" customHeight="false" outlineLevel="0" collapsed="false">
      <c r="A36" s="7" t="s">
        <v>102</v>
      </c>
      <c r="C36" s="10" t="n">
        <v>0.1</v>
      </c>
      <c r="F36" s="9" t="s">
        <v>103</v>
      </c>
    </row>
    <row r="37" customFormat="false" ht="15" hidden="false" customHeight="false" outlineLevel="0" collapsed="false">
      <c r="A37" s="7" t="s">
        <v>104</v>
      </c>
      <c r="C37" s="15" t="n">
        <f aca="false">C31+C32+C33</f>
        <v>1</v>
      </c>
      <c r="D37" s="16" t="str">
        <f aca="false">IF(ABS(C37-1)&lt;0.0001,"OK","FIX WEIGHTS")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20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4" t="s">
        <v>105</v>
      </c>
    </row>
    <row r="3" customFormat="false" ht="15" hidden="false" customHeight="false" outlineLevel="0" collapsed="false">
      <c r="A3" s="6" t="s">
        <v>106</v>
      </c>
      <c r="B3" s="6" t="s">
        <v>30</v>
      </c>
      <c r="C3" s="6" t="s">
        <v>31</v>
      </c>
      <c r="D3" s="6" t="s">
        <v>32</v>
      </c>
      <c r="E3" s="6" t="s">
        <v>107</v>
      </c>
    </row>
    <row r="4" customFormat="false" ht="15" hidden="false" customHeight="false" outlineLevel="0" collapsed="false">
      <c r="A4" s="7" t="s">
        <v>108</v>
      </c>
      <c r="B4" s="17" t="n">
        <f aca="false">Model!$I$21</f>
        <v>-734.224288272794</v>
      </c>
      <c r="C4" s="17" t="n">
        <f aca="false">Model!$I$46</f>
        <v>-303.163113107773</v>
      </c>
      <c r="D4" s="17" t="n">
        <f aca="false">Model!$I$71</f>
        <v>568.997604232316</v>
      </c>
      <c r="E4" s="18" t="n">
        <f aca="false">B4*Inputs!$C$31+C4*Inputs!$C$32+D4*Inputs!$C$33</f>
        <v>-192.888227564006</v>
      </c>
    </row>
    <row r="5" customFormat="false" ht="15" hidden="false" customHeight="false" outlineLevel="0" collapsed="false">
      <c r="A5" s="7" t="s">
        <v>109</v>
      </c>
      <c r="B5" s="17" t="n">
        <f aca="false">Model!$I$22</f>
        <v>-298.122064753536</v>
      </c>
      <c r="C5" s="17" t="n">
        <f aca="false">Model!$I$47</f>
        <v>101.483246437961</v>
      </c>
      <c r="D5" s="17" t="n">
        <f aca="false">Model!$I$72</f>
        <v>584.480264111795</v>
      </c>
      <c r="E5" s="18" t="n">
        <f aca="false">B5*Inputs!$C$31+C5*Inputs!$C$32+D5*Inputs!$C$33</f>
        <v>122.331173058545</v>
      </c>
    </row>
    <row r="6" customFormat="false" ht="15" hidden="false" customHeight="false" outlineLevel="0" collapsed="false">
      <c r="A6" s="7" t="s">
        <v>110</v>
      </c>
      <c r="B6" s="17" t="n">
        <f aca="false">Model!$I$23</f>
        <v>-212.994340203177</v>
      </c>
      <c r="C6" s="17" t="n">
        <f aca="false">Model!$I$48</f>
        <v>-91.5410488126121</v>
      </c>
      <c r="D6" s="17" t="n">
        <f aca="false">Model!$I$73</f>
        <v>184.631143821483</v>
      </c>
      <c r="E6" s="18" t="n">
        <f aca="false">B6*Inputs!$C$31+C6*Inputs!$C$32+D6*Inputs!$C$33</f>
        <v>-52.8613235017294</v>
      </c>
    </row>
    <row r="7" customFormat="false" ht="15" hidden="false" customHeight="false" outlineLevel="0" collapsed="false">
      <c r="A7" s="16" t="s">
        <v>111</v>
      </c>
      <c r="B7" s="16" t="str">
        <f aca="false">INDEX($A$4:$A$6,MATCH(MAX(B4:B6),B4:B6,0))</f>
        <v>C: Pure revenue share</v>
      </c>
      <c r="C7" s="16" t="str">
        <f aca="false">INDEX($A$4:$A$6,MATCH(MAX(C4:C6),C4:C6,0))</f>
        <v>B: MG + revenue share</v>
      </c>
      <c r="D7" s="16" t="str">
        <f aca="false">INDEX($A$4:$A$6,MATCH(MAX(D4:D6),D4:D6,0))</f>
        <v>B: MG + revenue share</v>
      </c>
      <c r="E7" s="16" t="str">
        <f aca="false">INDEX($A$4:$A$6,MATCH(MAX(E4:E6),E4:E6,0))</f>
        <v>B: MG + revenue share</v>
      </c>
    </row>
    <row r="9" customFormat="false" ht="15" hidden="false" customHeight="false" outlineLevel="0" collapsed="false">
      <c r="A9" s="6" t="s">
        <v>112</v>
      </c>
      <c r="B9" s="6" t="s">
        <v>30</v>
      </c>
      <c r="C9" s="6" t="s">
        <v>31</v>
      </c>
      <c r="D9" s="6" t="s">
        <v>32</v>
      </c>
      <c r="E9" s="6"/>
    </row>
    <row r="10" customFormat="false" ht="15" hidden="false" customHeight="false" outlineLevel="0" collapsed="false">
      <c r="A10" s="7" t="s">
        <v>108</v>
      </c>
      <c r="B10" s="19" t="str">
        <f aca="false">Model!$J$21</f>
        <v>n/a</v>
      </c>
      <c r="C10" s="19" t="str">
        <f aca="false">Model!$J$46</f>
        <v>n/a</v>
      </c>
      <c r="D10" s="19" t="n">
        <f aca="false">Model!$J$71</f>
        <v>2.47804934548571</v>
      </c>
    </row>
    <row r="11" customFormat="false" ht="15" hidden="false" customHeight="false" outlineLevel="0" collapsed="false">
      <c r="A11" s="7" t="s">
        <v>109</v>
      </c>
      <c r="B11" s="19" t="str">
        <f aca="false">Model!$J$22</f>
        <v>n/a</v>
      </c>
      <c r="C11" s="19" t="n">
        <f aca="false">Model!$J$47</f>
        <v>0.647054132074263</v>
      </c>
      <c r="D11" s="19" t="n">
        <f aca="false">Model!$J$72</f>
        <v>3.52678149632174</v>
      </c>
    </row>
    <row r="12" customFormat="false" ht="15" hidden="false" customHeight="false" outlineLevel="0" collapsed="false">
      <c r="A12" s="7" t="s">
        <v>110</v>
      </c>
      <c r="B12" s="19" t="str">
        <f aca="false">Model!$J$23</f>
        <v>n/a</v>
      </c>
      <c r="C12" s="19" t="str">
        <f aca="false">Model!$J$48</f>
        <v>n/a</v>
      </c>
      <c r="D12" s="19" t="n">
        <f aca="false">Model!$J$73</f>
        <v>1.00173735246828</v>
      </c>
    </row>
    <row r="14" customFormat="false" ht="15" hidden="false" customHeight="false" outlineLevel="0" collapsed="false">
      <c r="A14" s="6" t="s">
        <v>113</v>
      </c>
      <c r="B14" s="6" t="s">
        <v>30</v>
      </c>
      <c r="C14" s="6" t="s">
        <v>31</v>
      </c>
      <c r="D14" s="6" t="s">
        <v>32</v>
      </c>
      <c r="E14" s="6"/>
    </row>
    <row r="15" customFormat="false" ht="15" hidden="false" customHeight="false" outlineLevel="0" collapsed="false">
      <c r="A15" s="7" t="s">
        <v>108</v>
      </c>
      <c r="B15" s="20" t="str">
        <f aca="false">Model!$K$21</f>
        <v>Beyond Y5</v>
      </c>
      <c r="C15" s="20" t="str">
        <f aca="false">Model!$K$46</f>
        <v>Beyond Y5</v>
      </c>
      <c r="D15" s="20" t="str">
        <f aca="false">Model!$K$71</f>
        <v>Year 1</v>
      </c>
    </row>
    <row r="16" customFormat="false" ht="15" hidden="false" customHeight="false" outlineLevel="0" collapsed="false">
      <c r="A16" s="7" t="s">
        <v>109</v>
      </c>
      <c r="B16" s="20" t="str">
        <f aca="false">Model!$K$22</f>
        <v>Beyond Y5</v>
      </c>
      <c r="C16" s="20" t="str">
        <f aca="false">Model!$K$47</f>
        <v>Year 3</v>
      </c>
      <c r="D16" s="20" t="str">
        <f aca="false">Model!$K$72</f>
        <v>Year 1</v>
      </c>
    </row>
    <row r="17" customFormat="false" ht="15" hidden="false" customHeight="false" outlineLevel="0" collapsed="false">
      <c r="A17" s="7" t="s">
        <v>110</v>
      </c>
      <c r="B17" s="20" t="str">
        <f aca="false">Model!$K$23</f>
        <v>Beyond Y5</v>
      </c>
      <c r="C17" s="20" t="str">
        <f aca="false">Model!$K$48</f>
        <v>Beyond Y5</v>
      </c>
      <c r="D17" s="20" t="str">
        <f aca="false">Model!$K$73</f>
        <v>Year 2</v>
      </c>
    </row>
    <row r="19" customFormat="false" ht="15" hidden="false" customHeight="true" outlineLevel="0" collapsed="false">
      <c r="A19" s="21" t="s">
        <v>114</v>
      </c>
      <c r="B19" s="21"/>
      <c r="C19" s="21"/>
      <c r="D19" s="21"/>
      <c r="E19" s="21"/>
    </row>
    <row r="20" customFormat="false" ht="15" hidden="false" customHeight="false" outlineLevel="0" collapsed="false">
      <c r="A20" s="21"/>
      <c r="B20" s="21"/>
      <c r="C20" s="21"/>
      <c r="D20" s="21"/>
      <c r="E20" s="21"/>
    </row>
    <row r="21" customFormat="false" ht="15" hidden="false" customHeight="false" outlineLevel="0" collapsed="false">
      <c r="A21" s="21"/>
      <c r="B21" s="21"/>
      <c r="C21" s="21"/>
      <c r="D21" s="21"/>
      <c r="E21" s="21"/>
    </row>
  </sheetData>
  <mergeCells count="1">
    <mergeCell ref="A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7" min="4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4" t="s">
        <v>115</v>
      </c>
    </row>
    <row r="2" customFormat="false" ht="15" hidden="false" customHeight="false" outlineLevel="0" collapsed="false">
      <c r="A2" s="16" t="str">
        <f aca="false">"Structure analyzed: "&amp;INDEX({"A: Flat fee","B: MG + rev share","C: Rev share"},Inputs!$C$34)&amp;"   |   Flex: ±"&amp;TEXT(Inputs!$C$35,"0%")</f>
        <v>Structure analyzed: B: MG + rev share   |   Flex: ±20%</v>
      </c>
    </row>
    <row r="3" customFormat="false" ht="15" hidden="false" customHeight="false" outlineLevel="0" collapsed="false">
      <c r="A3" s="7" t="s">
        <v>116</v>
      </c>
      <c r="B3" s="17" t="n">
        <f aca="false">CHOOSE(Inputs!$C$34,Model!$I$46,Model!$I$47,Model!$I$48)</f>
        <v>101.483246437961</v>
      </c>
    </row>
    <row r="5" customFormat="false" ht="15" hidden="false" customHeight="false" outlineLevel="0" collapsed="false">
      <c r="A5" s="6" t="s">
        <v>117</v>
      </c>
      <c r="B5" s="6" t="s">
        <v>118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124</v>
      </c>
    </row>
    <row r="6" customFormat="false" ht="15" hidden="false" customHeight="false" outlineLevel="0" collapsed="false">
      <c r="A6" s="7" t="s">
        <v>34</v>
      </c>
      <c r="B6" s="22" t="n">
        <f aca="false">Inputs!$D$5*(1-Inputs!$C$35)</f>
        <v>0.8</v>
      </c>
      <c r="C6" s="22" t="n">
        <f aca="false">Inputs!$D$5*(1+Inputs!$C$35)</f>
        <v>1.2</v>
      </c>
      <c r="D6" s="17" t="n">
        <f aca="false">CHOOSE(Inputs!$C$34,Sensitivity_Calc!$I$20,Sensitivity_Calc!$I$21,Sensitivity_Calc!$I$22)</f>
        <v>21.3632467598462</v>
      </c>
      <c r="E6" s="17" t="n">
        <f aca="false">CHOOSE(Inputs!$C$34,Sensitivity_Calc!$I$45,Sensitivity_Calc!$I$46,Sensitivity_Calc!$I$47)</f>
        <v>167.765710428622</v>
      </c>
      <c r="F6" s="23" t="n">
        <f aca="false">D6-$B$3</f>
        <v>-80.1199996781143</v>
      </c>
      <c r="G6" s="23" t="n">
        <f aca="false">E6-$B$3</f>
        <v>66.2824639906613</v>
      </c>
      <c r="H6" s="23" t="n">
        <f aca="false">ABS(E6-D6)</f>
        <v>146.402463668776</v>
      </c>
    </row>
    <row r="7" customFormat="false" ht="15" hidden="false" customHeight="false" outlineLevel="0" collapsed="false">
      <c r="A7" s="7" t="s">
        <v>40</v>
      </c>
      <c r="B7" s="24" t="n">
        <f aca="false">Inputs!$D$7*(1-Inputs!$C$35)</f>
        <v>120</v>
      </c>
      <c r="C7" s="24" t="n">
        <f aca="false">Inputs!$D$7*(1+Inputs!$C$35)</f>
        <v>180</v>
      </c>
      <c r="D7" s="17" t="n">
        <f aca="false">CHOOSE(Inputs!$C$34,Sensitivity_Calc!$I$120,Sensitivity_Calc!$I$121,Sensitivity_Calc!$I$122)</f>
        <v>59.0161437670302</v>
      </c>
      <c r="E7" s="17" t="n">
        <f aca="false">CHOOSE(Inputs!$C$34,Sensitivity_Calc!$I$145,Sensitivity_Calc!$I$146,Sensitivity_Calc!$I$147)</f>
        <v>135.539542196795</v>
      </c>
      <c r="F7" s="23" t="n">
        <f aca="false">D7-$B$3</f>
        <v>-42.4671026709303</v>
      </c>
      <c r="G7" s="23" t="n">
        <f aca="false">E7-$B$3</f>
        <v>34.0562957588342</v>
      </c>
      <c r="H7" s="23" t="n">
        <f aca="false">ABS(E7-D7)</f>
        <v>76.5233984297645</v>
      </c>
    </row>
    <row r="8" customFormat="false" ht="15" hidden="false" customHeight="false" outlineLevel="0" collapsed="false">
      <c r="A8" s="7" t="s">
        <v>43</v>
      </c>
      <c r="B8" s="25" t="n">
        <f aca="false">Inputs!$D$8*(1-Inputs!$C$35)</f>
        <v>32</v>
      </c>
      <c r="C8" s="25" t="n">
        <f aca="false">Inputs!$D$8*(1+Inputs!$C$35)</f>
        <v>48</v>
      </c>
      <c r="D8" s="17" t="n">
        <f aca="false">CHOOSE(Inputs!$C$34,Sensitivity_Calc!$I$170,Sensitivity_Calc!$I$171,Sensitivity_Calc!$I$172)</f>
        <v>59.0161437670302</v>
      </c>
      <c r="E8" s="17" t="n">
        <f aca="false">CHOOSE(Inputs!$C$34,Sensitivity_Calc!$I$195,Sensitivity_Calc!$I$196,Sensitivity_Calc!$I$197)</f>
        <v>135.539542196795</v>
      </c>
      <c r="F8" s="23" t="n">
        <f aca="false">D8-$B$3</f>
        <v>-42.4671026709303</v>
      </c>
      <c r="G8" s="23" t="n">
        <f aca="false">E8-$B$3</f>
        <v>34.0562957588342</v>
      </c>
      <c r="H8" s="23" t="n">
        <f aca="false">ABS(E8-D8)</f>
        <v>76.5233984297645</v>
      </c>
    </row>
    <row r="9" customFormat="false" ht="15" hidden="false" customHeight="false" outlineLevel="0" collapsed="false">
      <c r="A9" s="7" t="s">
        <v>125</v>
      </c>
      <c r="B9" s="15" t="n">
        <f aca="false">Inputs!$D$9*(1-Inputs!$C$35)</f>
        <v>0.2</v>
      </c>
      <c r="C9" s="15" t="n">
        <f aca="false">Inputs!$D$9*(1+Inputs!$C$35)</f>
        <v>0.3</v>
      </c>
      <c r="D9" s="17" t="n">
        <f aca="false">CHOOSE(Inputs!$C$34,Sensitivity_Calc!$I$220,Sensitivity_Calc!$I$221,Sensitivity_Calc!$I$222)</f>
        <v>122.048954929507</v>
      </c>
      <c r="E9" s="17" t="n">
        <f aca="false">CHOOSE(Inputs!$C$34,Sensitivity_Calc!$I$245,Sensitivity_Calc!$I$246,Sensitivity_Calc!$I$247)</f>
        <v>80.9175379464144</v>
      </c>
      <c r="F9" s="23" t="n">
        <f aca="false">D9-$B$3</f>
        <v>20.5657084915461</v>
      </c>
      <c r="G9" s="23" t="n">
        <f aca="false">E9-$B$3</f>
        <v>-20.5657084915462</v>
      </c>
      <c r="H9" s="23" t="n">
        <f aca="false">ABS(E9-D9)</f>
        <v>41.1314169830923</v>
      </c>
    </row>
    <row r="10" customFormat="false" ht="15" hidden="false" customHeight="false" outlineLevel="0" collapsed="false">
      <c r="A10" s="7" t="s">
        <v>126</v>
      </c>
      <c r="B10" s="15" t="n">
        <f aca="false">Inputs!$D$6*(1-Inputs!$C$35)</f>
        <v>0.064</v>
      </c>
      <c r="C10" s="15" t="n">
        <f aca="false">Inputs!$D$6*(1+Inputs!$C$35)</f>
        <v>0.096</v>
      </c>
      <c r="D10" s="17" t="n">
        <f aca="false">CHOOSE(Inputs!$C$34,Sensitivity_Calc!$I$70,Sensitivity_Calc!$I$71,Sensitivity_Calc!$I$72)</f>
        <v>88.2238912360322</v>
      </c>
      <c r="E10" s="17" t="n">
        <f aca="false">CHOOSE(Inputs!$C$34,Sensitivity_Calc!$I$95,Sensitivity_Calc!$I$96,Sensitivity_Calc!$I$97)</f>
        <v>114.595002106653</v>
      </c>
      <c r="F10" s="23" t="n">
        <f aca="false">D10-$B$3</f>
        <v>-13.2593552019284</v>
      </c>
      <c r="G10" s="23" t="n">
        <f aca="false">E10-$B$3</f>
        <v>13.1117556686921</v>
      </c>
      <c r="H10" s="23" t="n">
        <f aca="false">ABS(E10-D10)</f>
        <v>26.3711108706205</v>
      </c>
    </row>
    <row r="12" customFormat="false" ht="15" hidden="false" customHeight="false" outlineLevel="0" collapsed="false">
      <c r="A12" s="16" t="s">
        <v>127</v>
      </c>
      <c r="B12" s="16" t="str">
        <f aca="false">INDEX(A6:A10,MATCH(MAX(H6:H10),H6:H10,0))</f>
        <v>Year-1 subscribers</v>
      </c>
    </row>
    <row r="13" customFormat="false" ht="15" hidden="false" customHeight="false" outlineLevel="0" collapsed="false">
      <c r="A13" s="16" t="s">
        <v>128</v>
      </c>
      <c r="B13" s="26" t="n">
        <f aca="false">IFERROR(Inputs!$D$5-$B$3*(C6-B6)/(E6-D6),"n/a")</f>
        <v>0.722728036414582</v>
      </c>
      <c r="C13" s="5" t="s">
        <v>129</v>
      </c>
    </row>
    <row r="14" customFormat="false" ht="15" hidden="false" customHeight="false" outlineLevel="0" collapsed="false">
      <c r="A14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11" min="3" style="0" width="13"/>
  </cols>
  <sheetData>
    <row r="1" customFormat="false" ht="17.35" hidden="false" customHeight="false" outlineLevel="0" collapsed="false">
      <c r="A1" s="4" t="s">
        <v>131</v>
      </c>
    </row>
    <row r="2" customFormat="false" ht="15" hidden="false" customHeight="false" outlineLevel="0" collapsed="false">
      <c r="A2" s="5" t="s">
        <v>132</v>
      </c>
    </row>
    <row r="4" customFormat="false" ht="15" hidden="false" customHeight="false" outlineLevel="0" collapsed="false">
      <c r="A4" s="6" t="s">
        <v>133</v>
      </c>
      <c r="B4" s="6" t="s">
        <v>134</v>
      </c>
      <c r="C4" s="6" t="s">
        <v>135</v>
      </c>
      <c r="D4" s="6" t="s">
        <v>136</v>
      </c>
      <c r="E4" s="6" t="s">
        <v>137</v>
      </c>
      <c r="F4" s="6" t="s">
        <v>138</v>
      </c>
      <c r="G4" s="6" t="s">
        <v>139</v>
      </c>
      <c r="H4" s="13"/>
      <c r="I4" s="6" t="s">
        <v>106</v>
      </c>
      <c r="J4" s="6" t="s">
        <v>112</v>
      </c>
      <c r="K4" s="6" t="s">
        <v>113</v>
      </c>
    </row>
    <row r="5" customFormat="false" ht="15" hidden="false" customHeight="false" outlineLevel="0" collapsed="false">
      <c r="A5" s="7" t="s">
        <v>140</v>
      </c>
      <c r="C5" s="27" t="n">
        <f aca="false">Inputs!$C$5</f>
        <v>0.6</v>
      </c>
      <c r="D5" s="28" t="n">
        <f aca="false">C5*(1+Inputs!$C$6)</f>
        <v>0.618</v>
      </c>
      <c r="E5" s="28" t="n">
        <f aca="false">D5*(1+Inputs!$C$6)</f>
        <v>0.63654</v>
      </c>
      <c r="F5" s="28" t="n">
        <f aca="false">E5*(1+Inputs!$C$6)</f>
        <v>0.6556362</v>
      </c>
      <c r="G5" s="28" t="n">
        <f aca="false">F5*(1+Inputs!$C$6)</f>
        <v>0.675305286</v>
      </c>
    </row>
    <row r="6" customFormat="false" ht="15" hidden="false" customHeight="false" outlineLevel="0" collapsed="false">
      <c r="A6" s="7" t="s">
        <v>141</v>
      </c>
      <c r="C6" s="29" t="n">
        <f aca="false">C5*Inputs!$C$12</f>
        <v>90</v>
      </c>
      <c r="D6" s="29" t="n">
        <f aca="false">D5*Inputs!$C$12</f>
        <v>92.7</v>
      </c>
      <c r="E6" s="29" t="n">
        <f aca="false">E5*Inputs!$C$12</f>
        <v>95.481</v>
      </c>
      <c r="F6" s="29" t="n">
        <f aca="false">F5*Inputs!$C$12</f>
        <v>98.34543</v>
      </c>
      <c r="G6" s="29" t="n">
        <f aca="false">G5*Inputs!$C$12</f>
        <v>101.2957929</v>
      </c>
    </row>
    <row r="7" customFormat="false" ht="15" hidden="false" customHeight="false" outlineLevel="0" collapsed="false">
      <c r="A7" s="7" t="s">
        <v>142</v>
      </c>
      <c r="C7" s="29" t="n">
        <f aca="false">-C6*Inputs!$C$13</f>
        <v>-13.5</v>
      </c>
      <c r="D7" s="29" t="n">
        <f aca="false">-D6*Inputs!$C$13</f>
        <v>-13.905</v>
      </c>
      <c r="E7" s="29" t="n">
        <f aca="false">-E6*Inputs!$C$13</f>
        <v>-14.32215</v>
      </c>
      <c r="F7" s="29" t="n">
        <f aca="false">-F6*Inputs!$C$13</f>
        <v>-14.7518145</v>
      </c>
      <c r="G7" s="29" t="n">
        <f aca="false">-G6*Inputs!$C$13</f>
        <v>-15.194368935</v>
      </c>
    </row>
    <row r="8" customFormat="false" ht="15" hidden="false" customHeight="false" outlineLevel="0" collapsed="false">
      <c r="A8" s="7" t="s">
        <v>143</v>
      </c>
      <c r="C8" s="29" t="n">
        <f aca="false">C6+C7</f>
        <v>76.5</v>
      </c>
      <c r="D8" s="29" t="n">
        <f aca="false">D6+D7</f>
        <v>78.795</v>
      </c>
      <c r="E8" s="29" t="n">
        <f aca="false">E6+E7</f>
        <v>81.15885</v>
      </c>
      <c r="F8" s="29" t="n">
        <f aca="false">F6+F7</f>
        <v>83.5936155</v>
      </c>
      <c r="G8" s="29" t="n">
        <f aca="false">G6+G7</f>
        <v>86.101423965</v>
      </c>
    </row>
    <row r="9" customFormat="false" ht="15" hidden="false" customHeight="false" outlineLevel="0" collapsed="false">
      <c r="A9" s="7" t="s">
        <v>144</v>
      </c>
      <c r="C9" s="30" t="n">
        <f aca="false">Inputs!$C$7</f>
        <v>90</v>
      </c>
      <c r="D9" s="31" t="n">
        <f aca="false">C9*(1+Inputs!$C$6)</f>
        <v>92.7</v>
      </c>
      <c r="E9" s="31" t="n">
        <f aca="false">D9*(1+Inputs!$C$6)</f>
        <v>95.481</v>
      </c>
      <c r="F9" s="31" t="n">
        <f aca="false">E9*(1+Inputs!$C$6)</f>
        <v>98.34543</v>
      </c>
      <c r="G9" s="31" t="n">
        <f aca="false">F9*(1+Inputs!$C$6)</f>
        <v>101.2957929</v>
      </c>
    </row>
    <row r="10" customFormat="false" ht="15" hidden="false" customHeight="false" outlineLevel="0" collapsed="false">
      <c r="A10" s="7" t="s">
        <v>145</v>
      </c>
      <c r="C10" s="31" t="n">
        <f aca="false">C9*Inputs!$C$14*Inputs!$C$15</f>
        <v>1800</v>
      </c>
      <c r="D10" s="31" t="n">
        <f aca="false">D9*Inputs!$C$14*Inputs!$C$15</f>
        <v>1854</v>
      </c>
      <c r="E10" s="31" t="n">
        <f aca="false">E9*Inputs!$C$14*Inputs!$C$15</f>
        <v>1909.62</v>
      </c>
      <c r="F10" s="31" t="n">
        <f aca="false">F9*Inputs!$C$14*Inputs!$C$15</f>
        <v>1966.9086</v>
      </c>
      <c r="G10" s="31" t="n">
        <f aca="false">G9*Inputs!$C$14*Inputs!$C$15</f>
        <v>2025.915858</v>
      </c>
    </row>
    <row r="11" customFormat="false" ht="15" hidden="false" customHeight="false" outlineLevel="0" collapsed="false">
      <c r="A11" s="7" t="s">
        <v>146</v>
      </c>
      <c r="C11" s="29" t="n">
        <f aca="false">C10*Inputs!$C$8/1000*Inputs!$C$16</f>
        <v>45.9</v>
      </c>
      <c r="D11" s="29" t="n">
        <f aca="false">D10*Inputs!$C$8/1000*Inputs!$C$16</f>
        <v>47.277</v>
      </c>
      <c r="E11" s="29" t="n">
        <f aca="false">E10*Inputs!$C$8/1000*Inputs!$C$16</f>
        <v>48.69531</v>
      </c>
      <c r="F11" s="29" t="n">
        <f aca="false">F10*Inputs!$C$8/1000*Inputs!$C$16</f>
        <v>50.1561693</v>
      </c>
      <c r="G11" s="29" t="n">
        <f aca="false">G10*Inputs!$C$8/1000*Inputs!$C$16</f>
        <v>51.660854379</v>
      </c>
    </row>
    <row r="12" customFormat="false" ht="15" hidden="false" customHeight="false" outlineLevel="0" collapsed="false">
      <c r="A12" s="16" t="s">
        <v>147</v>
      </c>
      <c r="C12" s="32" t="n">
        <f aca="false">C8+C11</f>
        <v>122.4</v>
      </c>
      <c r="D12" s="32" t="n">
        <f aca="false">D8+D11</f>
        <v>126.072</v>
      </c>
      <c r="E12" s="32" t="n">
        <f aca="false">E8+E11</f>
        <v>129.85416</v>
      </c>
      <c r="F12" s="32" t="n">
        <f aca="false">F8+F11</f>
        <v>133.7497848</v>
      </c>
      <c r="G12" s="32" t="n">
        <f aca="false">G8+G11</f>
        <v>137.762278344</v>
      </c>
    </row>
    <row r="13" customFormat="false" ht="15" hidden="false" customHeight="false" outlineLevel="0" collapsed="false">
      <c r="A13" s="7" t="s">
        <v>148</v>
      </c>
      <c r="C13" s="29" t="n">
        <f aca="false">-C11*Inputs!$C$9</f>
        <v>-16.065</v>
      </c>
      <c r="D13" s="29" t="n">
        <f aca="false">-D11*Inputs!$C$9</f>
        <v>-16.54695</v>
      </c>
      <c r="E13" s="29" t="n">
        <f aca="false">-E11*Inputs!$C$9</f>
        <v>-17.0433585</v>
      </c>
      <c r="F13" s="29" t="n">
        <f aca="false">-F11*Inputs!$C$9</f>
        <v>-17.554659255</v>
      </c>
      <c r="G13" s="29" t="n">
        <f aca="false">-G11*Inputs!$C$9</f>
        <v>-18.08129903265</v>
      </c>
    </row>
    <row r="14" customFormat="false" ht="15" hidden="false" customHeight="false" outlineLevel="0" collapsed="false">
      <c r="A14" s="16" t="s">
        <v>149</v>
      </c>
      <c r="C14" s="32" t="n">
        <f aca="false">C12+C13</f>
        <v>106.335</v>
      </c>
      <c r="D14" s="32" t="n">
        <f aca="false">D12+D13</f>
        <v>109.52505</v>
      </c>
      <c r="E14" s="32" t="n">
        <f aca="false">E12+E13</f>
        <v>112.8108015</v>
      </c>
      <c r="F14" s="32" t="n">
        <f aca="false">F12+F13</f>
        <v>116.195125545</v>
      </c>
      <c r="G14" s="32" t="n">
        <f aca="false">G12+G13</f>
        <v>119.68097931135</v>
      </c>
    </row>
    <row r="15" customFormat="false" ht="15" hidden="false" customHeight="false" outlineLevel="0" collapsed="false">
      <c r="A15" s="7" t="s">
        <v>150</v>
      </c>
      <c r="C15" s="29" t="n">
        <f aca="false">-Inputs!$C$17*(1+Inputs!$C$18)^0</f>
        <v>-60</v>
      </c>
      <c r="D15" s="29" t="n">
        <f aca="false">-Inputs!$C$17*(1+Inputs!$C$18)^1</f>
        <v>-61.8</v>
      </c>
      <c r="E15" s="29" t="n">
        <f aca="false">-Inputs!$C$17*(1+Inputs!$C$18)^2</f>
        <v>-63.654</v>
      </c>
      <c r="F15" s="29" t="n">
        <f aca="false">-Inputs!$C$17*(1+Inputs!$C$18)^3</f>
        <v>-65.56362</v>
      </c>
      <c r="G15" s="29" t="n">
        <f aca="false">-Inputs!$C$17*(1+Inputs!$C$18)^4</f>
        <v>-67.5305286</v>
      </c>
    </row>
    <row r="16" customFormat="false" ht="15" hidden="false" customHeight="false" outlineLevel="0" collapsed="false">
      <c r="A16" s="7" t="s">
        <v>151</v>
      </c>
      <c r="C16" s="29" t="n">
        <f aca="false">-(C14*Inputs!$C$19+Inputs!$C$20)</f>
        <v>-58.5068</v>
      </c>
      <c r="D16" s="29" t="n">
        <f aca="false">-(D14*Inputs!$C$19)</f>
        <v>-8.762004</v>
      </c>
      <c r="E16" s="29" t="n">
        <f aca="false">-(E14*Inputs!$C$19)</f>
        <v>-9.02486412</v>
      </c>
      <c r="F16" s="29" t="n">
        <f aca="false">-(F14*Inputs!$C$19)</f>
        <v>-9.2956100436</v>
      </c>
      <c r="G16" s="29" t="n">
        <f aca="false">-(G14*Inputs!$C$19)</f>
        <v>-9.574478344908</v>
      </c>
    </row>
    <row r="17" customFormat="false" ht="15" hidden="false" customHeight="false" outlineLevel="0" collapsed="false">
      <c r="A17" s="16" t="s">
        <v>152</v>
      </c>
      <c r="C17" s="32" t="n">
        <f aca="false">C14+C15+C16</f>
        <v>-12.1718</v>
      </c>
      <c r="D17" s="32" t="n">
        <f aca="false">D14+D15+D16</f>
        <v>38.963046</v>
      </c>
      <c r="E17" s="32" t="n">
        <f aca="false">E14+E15+E16</f>
        <v>40.13193738</v>
      </c>
      <c r="F17" s="32" t="n">
        <f aca="false">F14+F15+F16</f>
        <v>41.3358955014</v>
      </c>
      <c r="G17" s="32" t="n">
        <f aca="false">G14+G15+G16</f>
        <v>42.575972366442</v>
      </c>
    </row>
    <row r="18" customFormat="false" ht="15" hidden="false" customHeight="false" outlineLevel="0" collapsed="false">
      <c r="A18" s="7" t="s">
        <v>153</v>
      </c>
      <c r="C18" s="29" t="n">
        <f aca="false">-Inputs!$C$24*(1+Inputs!$C$25)^0</f>
        <v>-200</v>
      </c>
      <c r="D18" s="29" t="n">
        <f aca="false">-Inputs!$C$24*(1+Inputs!$C$25)^1</f>
        <v>-208</v>
      </c>
      <c r="E18" s="29" t="n">
        <f aca="false">-Inputs!$C$24*(1+Inputs!$C$25)^2</f>
        <v>-216.32</v>
      </c>
      <c r="F18" s="29" t="n">
        <f aca="false">-Inputs!$C$24*(1+Inputs!$C$25)^3</f>
        <v>-224.9728</v>
      </c>
      <c r="G18" s="29" t="n">
        <f aca="false">-Inputs!$C$24*(1+Inputs!$C$25)^4</f>
        <v>-233.971712</v>
      </c>
    </row>
    <row r="19" customFormat="false" ht="15" hidden="false" customHeight="false" outlineLevel="0" collapsed="false">
      <c r="A19" s="7" t="s">
        <v>154</v>
      </c>
      <c r="C19" s="29" t="n">
        <f aca="false">-MAX(Inputs!$C$26,Inputs!$C$27*C12)</f>
        <v>-100</v>
      </c>
      <c r="D19" s="29" t="n">
        <f aca="false">-MAX(Inputs!$C$26,Inputs!$C$27*D12)</f>
        <v>-100</v>
      </c>
      <c r="E19" s="29" t="n">
        <f aca="false">-MAX(Inputs!$C$26,Inputs!$C$27*E12)</f>
        <v>-100</v>
      </c>
      <c r="F19" s="29" t="n">
        <f aca="false">-MAX(Inputs!$C$26,Inputs!$C$27*F12)</f>
        <v>-100</v>
      </c>
      <c r="G19" s="29" t="n">
        <f aca="false">-MAX(Inputs!$C$26,Inputs!$C$27*G12)</f>
        <v>-100</v>
      </c>
    </row>
    <row r="20" customFormat="false" ht="15" hidden="false" customHeight="false" outlineLevel="0" collapsed="false">
      <c r="A20" s="7" t="s">
        <v>155</v>
      </c>
      <c r="C20" s="29" t="n">
        <f aca="false">-Inputs!$C$28*C12</f>
        <v>-73.44</v>
      </c>
      <c r="D20" s="29" t="n">
        <f aca="false">-Inputs!$C$28*D12</f>
        <v>-75.6432</v>
      </c>
      <c r="E20" s="29" t="n">
        <f aca="false">-Inputs!$C$28*E12</f>
        <v>-77.912496</v>
      </c>
      <c r="F20" s="29" t="n">
        <f aca="false">-Inputs!$C$28*F12</f>
        <v>-80.24987088</v>
      </c>
      <c r="G20" s="29" t="n">
        <f aca="false">-Inputs!$C$28*G12</f>
        <v>-82.6573670064</v>
      </c>
    </row>
    <row r="21" customFormat="false" ht="15" hidden="false" customHeight="false" outlineLevel="0" collapsed="false">
      <c r="A21" s="16" t="s">
        <v>156</v>
      </c>
      <c r="B21" s="32" t="n">
        <f aca="false">-Inputs!$C$29</f>
        <v>-25</v>
      </c>
      <c r="C21" s="32" t="n">
        <f aca="false">C17+C18</f>
        <v>-212.1718</v>
      </c>
      <c r="D21" s="32" t="n">
        <f aca="false">D17+D18</f>
        <v>-169.036954</v>
      </c>
      <c r="E21" s="32" t="n">
        <f aca="false">E17+E18</f>
        <v>-176.18806262</v>
      </c>
      <c r="F21" s="32" t="n">
        <f aca="false">F17+F18</f>
        <v>-183.6369044986</v>
      </c>
      <c r="G21" s="32" t="n">
        <f aca="false">G17+G18</f>
        <v>-191.395739633558</v>
      </c>
      <c r="I21" s="18" t="n">
        <f aca="false">B21+NPV(Inputs!$C$21,C21:G21)</f>
        <v>-734.224288272794</v>
      </c>
      <c r="J21" s="15" t="str">
        <f aca="false">IFERROR(IRR(B21:G21),"n/a")</f>
        <v>n/a</v>
      </c>
      <c r="K21" s="7" t="str">
        <f aca="false">IF(COUNTIF(C24:G24,"&lt;0")&gt;=5,"Beyond Y5","Year "&amp;(COUNTIF(C24:G24,"&lt;0")+1))</f>
        <v>Beyond Y5</v>
      </c>
    </row>
    <row r="22" customFormat="false" ht="15" hidden="false" customHeight="false" outlineLevel="0" collapsed="false">
      <c r="A22" s="16" t="s">
        <v>157</v>
      </c>
      <c r="B22" s="32" t="n">
        <f aca="false">-Inputs!$C$29</f>
        <v>-25</v>
      </c>
      <c r="C22" s="32" t="n">
        <f aca="false">C17+C19</f>
        <v>-112.1718</v>
      </c>
      <c r="D22" s="32" t="n">
        <f aca="false">D17+D19</f>
        <v>-61.036954</v>
      </c>
      <c r="E22" s="32" t="n">
        <f aca="false">E17+E19</f>
        <v>-59.86806262</v>
      </c>
      <c r="F22" s="32" t="n">
        <f aca="false">F17+F19</f>
        <v>-58.6641044986</v>
      </c>
      <c r="G22" s="32" t="n">
        <f aca="false">G17+G19</f>
        <v>-57.424027633558</v>
      </c>
      <c r="I22" s="18" t="n">
        <f aca="false">B22+NPV(Inputs!$C$21,C22:G22)</f>
        <v>-298.122064753536</v>
      </c>
      <c r="J22" s="15" t="str">
        <f aca="false">IFERROR(IRR(B22:G22),"n/a")</f>
        <v>n/a</v>
      </c>
      <c r="K22" s="7" t="str">
        <f aca="false">IF(COUNTIF(C25:G25,"&lt;0")&gt;=5,"Beyond Y5","Year "&amp;(COUNTIF(C25:G25,"&lt;0")+1))</f>
        <v>Beyond Y5</v>
      </c>
    </row>
    <row r="23" customFormat="false" ht="15" hidden="false" customHeight="false" outlineLevel="0" collapsed="false">
      <c r="A23" s="16" t="s">
        <v>158</v>
      </c>
      <c r="B23" s="32" t="n">
        <f aca="false">-Inputs!$C$29</f>
        <v>-25</v>
      </c>
      <c r="C23" s="32" t="n">
        <f aca="false">C17+C20</f>
        <v>-85.6118</v>
      </c>
      <c r="D23" s="32" t="n">
        <f aca="false">D17+D20</f>
        <v>-36.680154</v>
      </c>
      <c r="E23" s="32" t="n">
        <f aca="false">E17+E20</f>
        <v>-37.78055862</v>
      </c>
      <c r="F23" s="32" t="n">
        <f aca="false">F17+F20</f>
        <v>-38.9139753786</v>
      </c>
      <c r="G23" s="32" t="n">
        <f aca="false">G17+G20</f>
        <v>-40.081394639958</v>
      </c>
      <c r="I23" s="18" t="n">
        <f aca="false">B23+NPV(Inputs!$C$21,C23:G23)</f>
        <v>-212.994340203177</v>
      </c>
      <c r="J23" s="15" t="str">
        <f aca="false">IFERROR(IRR(B23:G23),"n/a")</f>
        <v>n/a</v>
      </c>
      <c r="K23" s="7" t="str">
        <f aca="false">IF(COUNTIF(C26:G26,"&lt;0")&gt;=5,"Beyond Y5","Year "&amp;(COUNTIF(C26:G26,"&lt;0")+1))</f>
        <v>Beyond Y5</v>
      </c>
    </row>
    <row r="24" customFormat="false" ht="15" hidden="false" customHeight="false" outlineLevel="0" collapsed="false">
      <c r="A24" s="7" t="s">
        <v>159</v>
      </c>
      <c r="C24" s="29" t="n">
        <f aca="false">B21+C21</f>
        <v>-237.1718</v>
      </c>
      <c r="D24" s="29" t="n">
        <f aca="false">C24+D21</f>
        <v>-406.208754</v>
      </c>
      <c r="E24" s="29" t="n">
        <f aca="false">D24+E21</f>
        <v>-582.39681662</v>
      </c>
      <c r="F24" s="29" t="n">
        <f aca="false">E24+F21</f>
        <v>-766.0337211186</v>
      </c>
      <c r="G24" s="29" t="n">
        <f aca="false">F24+G21</f>
        <v>-957.429460752158</v>
      </c>
    </row>
    <row r="25" customFormat="false" ht="15" hidden="false" customHeight="false" outlineLevel="0" collapsed="false">
      <c r="A25" s="7" t="s">
        <v>160</v>
      </c>
      <c r="C25" s="29" t="n">
        <f aca="false">B22+C22</f>
        <v>-137.1718</v>
      </c>
      <c r="D25" s="29" t="n">
        <f aca="false">C25+D22</f>
        <v>-198.208754</v>
      </c>
      <c r="E25" s="29" t="n">
        <f aca="false">D25+E22</f>
        <v>-258.07681662</v>
      </c>
      <c r="F25" s="29" t="n">
        <f aca="false">E25+F22</f>
        <v>-316.7409211186</v>
      </c>
      <c r="G25" s="29" t="n">
        <f aca="false">F25+G22</f>
        <v>-374.164948752158</v>
      </c>
    </row>
    <row r="26" customFormat="false" ht="15" hidden="false" customHeight="false" outlineLevel="0" collapsed="false">
      <c r="A26" s="7" t="s">
        <v>161</v>
      </c>
      <c r="C26" s="29" t="n">
        <f aca="false">B23+C23</f>
        <v>-110.6118</v>
      </c>
      <c r="D26" s="29" t="n">
        <f aca="false">C26+D23</f>
        <v>-147.291954</v>
      </c>
      <c r="E26" s="29" t="n">
        <f aca="false">D26+E23</f>
        <v>-185.07251262</v>
      </c>
      <c r="F26" s="29" t="n">
        <f aca="false">E26+F23</f>
        <v>-223.9864879986</v>
      </c>
      <c r="G26" s="29" t="n">
        <f aca="false">F26+G23</f>
        <v>-264.067882638558</v>
      </c>
    </row>
    <row r="29" customFormat="false" ht="15" hidden="false" customHeight="false" outlineLevel="0" collapsed="false">
      <c r="A29" s="6" t="s">
        <v>162</v>
      </c>
      <c r="B29" s="6" t="s">
        <v>134</v>
      </c>
      <c r="C29" s="6" t="s">
        <v>135</v>
      </c>
      <c r="D29" s="6" t="s">
        <v>136</v>
      </c>
      <c r="E29" s="6" t="s">
        <v>137</v>
      </c>
      <c r="F29" s="6" t="s">
        <v>138</v>
      </c>
      <c r="G29" s="6" t="s">
        <v>139</v>
      </c>
      <c r="H29" s="13"/>
      <c r="I29" s="6" t="s">
        <v>106</v>
      </c>
      <c r="J29" s="6" t="s">
        <v>112</v>
      </c>
      <c r="K29" s="6" t="s">
        <v>113</v>
      </c>
    </row>
    <row r="30" customFormat="false" ht="15" hidden="false" customHeight="false" outlineLevel="0" collapsed="false">
      <c r="A30" s="7" t="s">
        <v>140</v>
      </c>
      <c r="C30" s="27" t="n">
        <f aca="false">Inputs!$D$5</f>
        <v>1</v>
      </c>
      <c r="D30" s="28" t="n">
        <f aca="false">C30*(1+Inputs!$D$6)</f>
        <v>1.08</v>
      </c>
      <c r="E30" s="28" t="n">
        <f aca="false">D30*(1+Inputs!$D$6)</f>
        <v>1.1664</v>
      </c>
      <c r="F30" s="28" t="n">
        <f aca="false">E30*(1+Inputs!$D$6)</f>
        <v>1.259712</v>
      </c>
      <c r="G30" s="28" t="n">
        <f aca="false">F30*(1+Inputs!$D$6)</f>
        <v>1.36048896</v>
      </c>
    </row>
    <row r="31" customFormat="false" ht="15" hidden="false" customHeight="false" outlineLevel="0" collapsed="false">
      <c r="A31" s="7" t="s">
        <v>141</v>
      </c>
      <c r="C31" s="29" t="n">
        <f aca="false">C30*Inputs!$C$12</f>
        <v>150</v>
      </c>
      <c r="D31" s="29" t="n">
        <f aca="false">D30*Inputs!$C$12</f>
        <v>162</v>
      </c>
      <c r="E31" s="29" t="n">
        <f aca="false">E30*Inputs!$C$12</f>
        <v>174.96</v>
      </c>
      <c r="F31" s="29" t="n">
        <f aca="false">F30*Inputs!$C$12</f>
        <v>188.9568</v>
      </c>
      <c r="G31" s="29" t="n">
        <f aca="false">G30*Inputs!$C$12</f>
        <v>204.073344</v>
      </c>
    </row>
    <row r="32" customFormat="false" ht="15" hidden="false" customHeight="false" outlineLevel="0" collapsed="false">
      <c r="A32" s="7" t="s">
        <v>142</v>
      </c>
      <c r="C32" s="29" t="n">
        <f aca="false">-C31*Inputs!$C$13</f>
        <v>-22.5</v>
      </c>
      <c r="D32" s="29" t="n">
        <f aca="false">-D31*Inputs!$C$13</f>
        <v>-24.3</v>
      </c>
      <c r="E32" s="29" t="n">
        <f aca="false">-E31*Inputs!$C$13</f>
        <v>-26.244</v>
      </c>
      <c r="F32" s="29" t="n">
        <f aca="false">-F31*Inputs!$C$13</f>
        <v>-28.34352</v>
      </c>
      <c r="G32" s="29" t="n">
        <f aca="false">-G31*Inputs!$C$13</f>
        <v>-30.6110016</v>
      </c>
    </row>
    <row r="33" customFormat="false" ht="15" hidden="false" customHeight="false" outlineLevel="0" collapsed="false">
      <c r="A33" s="7" t="s">
        <v>143</v>
      </c>
      <c r="C33" s="29" t="n">
        <f aca="false">C31+C32</f>
        <v>127.5</v>
      </c>
      <c r="D33" s="29" t="n">
        <f aca="false">D31+D32</f>
        <v>137.7</v>
      </c>
      <c r="E33" s="29" t="n">
        <f aca="false">E31+E32</f>
        <v>148.716</v>
      </c>
      <c r="F33" s="29" t="n">
        <f aca="false">F31+F32</f>
        <v>160.61328</v>
      </c>
      <c r="G33" s="29" t="n">
        <f aca="false">G31+G32</f>
        <v>173.4623424</v>
      </c>
    </row>
    <row r="34" customFormat="false" ht="15" hidden="false" customHeight="false" outlineLevel="0" collapsed="false">
      <c r="A34" s="7" t="s">
        <v>144</v>
      </c>
      <c r="C34" s="30" t="n">
        <f aca="false">Inputs!$D$7</f>
        <v>150</v>
      </c>
      <c r="D34" s="31" t="n">
        <f aca="false">C34*(1+Inputs!$D$6)</f>
        <v>162</v>
      </c>
      <c r="E34" s="31" t="n">
        <f aca="false">D34*(1+Inputs!$D$6)</f>
        <v>174.96</v>
      </c>
      <c r="F34" s="31" t="n">
        <f aca="false">E34*(1+Inputs!$D$6)</f>
        <v>188.9568</v>
      </c>
      <c r="G34" s="31" t="n">
        <f aca="false">F34*(1+Inputs!$D$6)</f>
        <v>204.073344</v>
      </c>
    </row>
    <row r="35" customFormat="false" ht="15" hidden="false" customHeight="false" outlineLevel="0" collapsed="false">
      <c r="A35" s="7" t="s">
        <v>145</v>
      </c>
      <c r="C35" s="31" t="n">
        <f aca="false">C34*Inputs!$C$14*Inputs!$C$15</f>
        <v>3000</v>
      </c>
      <c r="D35" s="31" t="n">
        <f aca="false">D34*Inputs!$C$14*Inputs!$C$15</f>
        <v>3240</v>
      </c>
      <c r="E35" s="31" t="n">
        <f aca="false">E34*Inputs!$C$14*Inputs!$C$15</f>
        <v>3499.2</v>
      </c>
      <c r="F35" s="31" t="n">
        <f aca="false">F34*Inputs!$C$14*Inputs!$C$15</f>
        <v>3779.136</v>
      </c>
      <c r="G35" s="31" t="n">
        <f aca="false">G34*Inputs!$C$14*Inputs!$C$15</f>
        <v>4081.46688</v>
      </c>
    </row>
    <row r="36" customFormat="false" ht="15" hidden="false" customHeight="false" outlineLevel="0" collapsed="false">
      <c r="A36" s="7" t="s">
        <v>146</v>
      </c>
      <c r="C36" s="29" t="n">
        <f aca="false">C35*Inputs!$D$8/1000*Inputs!$C$16</f>
        <v>102</v>
      </c>
      <c r="D36" s="29" t="n">
        <f aca="false">D35*Inputs!$D$8/1000*Inputs!$C$16</f>
        <v>110.16</v>
      </c>
      <c r="E36" s="29" t="n">
        <f aca="false">E35*Inputs!$D$8/1000*Inputs!$C$16</f>
        <v>118.9728</v>
      </c>
      <c r="F36" s="29" t="n">
        <f aca="false">F35*Inputs!$D$8/1000*Inputs!$C$16</f>
        <v>128.490624</v>
      </c>
      <c r="G36" s="29" t="n">
        <f aca="false">G35*Inputs!$D$8/1000*Inputs!$C$16</f>
        <v>138.76987392</v>
      </c>
    </row>
    <row r="37" customFormat="false" ht="15" hidden="false" customHeight="false" outlineLevel="0" collapsed="false">
      <c r="A37" s="16" t="s">
        <v>147</v>
      </c>
      <c r="C37" s="32" t="n">
        <f aca="false">C33+C36</f>
        <v>229.5</v>
      </c>
      <c r="D37" s="32" t="n">
        <f aca="false">D33+D36</f>
        <v>247.86</v>
      </c>
      <c r="E37" s="32" t="n">
        <f aca="false">E33+E36</f>
        <v>267.6888</v>
      </c>
      <c r="F37" s="32" t="n">
        <f aca="false">F33+F36</f>
        <v>289.103904</v>
      </c>
      <c r="G37" s="32" t="n">
        <f aca="false">G33+G36</f>
        <v>312.23221632</v>
      </c>
    </row>
    <row r="38" customFormat="false" ht="15" hidden="false" customHeight="false" outlineLevel="0" collapsed="false">
      <c r="A38" s="7" t="s">
        <v>148</v>
      </c>
      <c r="C38" s="29" t="n">
        <f aca="false">-C36*Inputs!$D$9</f>
        <v>-25.5</v>
      </c>
      <c r="D38" s="29" t="n">
        <f aca="false">-D36*Inputs!$D$9</f>
        <v>-27.54</v>
      </c>
      <c r="E38" s="29" t="n">
        <f aca="false">-E36*Inputs!$D$9</f>
        <v>-29.7432</v>
      </c>
      <c r="F38" s="29" t="n">
        <f aca="false">-F36*Inputs!$D$9</f>
        <v>-32.122656</v>
      </c>
      <c r="G38" s="29" t="n">
        <f aca="false">-G36*Inputs!$D$9</f>
        <v>-34.69246848</v>
      </c>
    </row>
    <row r="39" customFormat="false" ht="15" hidden="false" customHeight="false" outlineLevel="0" collapsed="false">
      <c r="A39" s="16" t="s">
        <v>149</v>
      </c>
      <c r="C39" s="32" t="n">
        <f aca="false">C37+C38</f>
        <v>204</v>
      </c>
      <c r="D39" s="32" t="n">
        <f aca="false">D37+D38</f>
        <v>220.32</v>
      </c>
      <c r="E39" s="32" t="n">
        <f aca="false">E37+E38</f>
        <v>237.9456</v>
      </c>
      <c r="F39" s="32" t="n">
        <f aca="false">F37+F38</f>
        <v>256.981248</v>
      </c>
      <c r="G39" s="32" t="n">
        <f aca="false">G37+G38</f>
        <v>277.53974784</v>
      </c>
    </row>
    <row r="40" customFormat="false" ht="15" hidden="false" customHeight="false" outlineLevel="0" collapsed="false">
      <c r="A40" s="7" t="s">
        <v>150</v>
      </c>
      <c r="C40" s="29" t="n">
        <f aca="false">-Inputs!$C$17*(1+Inputs!$C$18)^0</f>
        <v>-60</v>
      </c>
      <c r="D40" s="29" t="n">
        <f aca="false">-Inputs!$C$17*(1+Inputs!$C$18)^1</f>
        <v>-61.8</v>
      </c>
      <c r="E40" s="29" t="n">
        <f aca="false">-Inputs!$C$17*(1+Inputs!$C$18)^2</f>
        <v>-63.654</v>
      </c>
      <c r="F40" s="29" t="n">
        <f aca="false">-Inputs!$C$17*(1+Inputs!$C$18)^3</f>
        <v>-65.56362</v>
      </c>
      <c r="G40" s="29" t="n">
        <f aca="false">-Inputs!$C$17*(1+Inputs!$C$18)^4</f>
        <v>-67.5305286</v>
      </c>
    </row>
    <row r="41" customFormat="false" ht="15" hidden="false" customHeight="false" outlineLevel="0" collapsed="false">
      <c r="A41" s="7" t="s">
        <v>151</v>
      </c>
      <c r="C41" s="29" t="n">
        <f aca="false">-(C39*Inputs!$C$19+Inputs!$C$20)</f>
        <v>-66.32</v>
      </c>
      <c r="D41" s="29" t="n">
        <f aca="false">-(D39*Inputs!$C$19)</f>
        <v>-17.6256</v>
      </c>
      <c r="E41" s="29" t="n">
        <f aca="false">-(E39*Inputs!$C$19)</f>
        <v>-19.035648</v>
      </c>
      <c r="F41" s="29" t="n">
        <f aca="false">-(F39*Inputs!$C$19)</f>
        <v>-20.55849984</v>
      </c>
      <c r="G41" s="29" t="n">
        <f aca="false">-(G39*Inputs!$C$19)</f>
        <v>-22.2031798272</v>
      </c>
    </row>
    <row r="42" customFormat="false" ht="15" hidden="false" customHeight="false" outlineLevel="0" collapsed="false">
      <c r="A42" s="16" t="s">
        <v>152</v>
      </c>
      <c r="C42" s="32" t="n">
        <f aca="false">C39+C40+C41</f>
        <v>77.68</v>
      </c>
      <c r="D42" s="32" t="n">
        <f aca="false">D39+D40+D41</f>
        <v>140.8944</v>
      </c>
      <c r="E42" s="32" t="n">
        <f aca="false">E39+E40+E41</f>
        <v>155.255952</v>
      </c>
      <c r="F42" s="32" t="n">
        <f aca="false">F39+F40+F41</f>
        <v>170.85912816</v>
      </c>
      <c r="G42" s="32" t="n">
        <f aca="false">G39+G40+G41</f>
        <v>187.8060394128</v>
      </c>
    </row>
    <row r="43" customFormat="false" ht="15" hidden="false" customHeight="false" outlineLevel="0" collapsed="false">
      <c r="A43" s="7" t="s">
        <v>153</v>
      </c>
      <c r="C43" s="29" t="n">
        <f aca="false">-Inputs!$C$24*(1+Inputs!$C$25)^0</f>
        <v>-200</v>
      </c>
      <c r="D43" s="29" t="n">
        <f aca="false">-Inputs!$C$24*(1+Inputs!$C$25)^1</f>
        <v>-208</v>
      </c>
      <c r="E43" s="29" t="n">
        <f aca="false">-Inputs!$C$24*(1+Inputs!$C$25)^2</f>
        <v>-216.32</v>
      </c>
      <c r="F43" s="29" t="n">
        <f aca="false">-Inputs!$C$24*(1+Inputs!$C$25)^3</f>
        <v>-224.9728</v>
      </c>
      <c r="G43" s="29" t="n">
        <f aca="false">-Inputs!$C$24*(1+Inputs!$C$25)^4</f>
        <v>-233.971712</v>
      </c>
    </row>
    <row r="44" customFormat="false" ht="15" hidden="false" customHeight="false" outlineLevel="0" collapsed="false">
      <c r="A44" s="7" t="s">
        <v>154</v>
      </c>
      <c r="C44" s="29" t="n">
        <f aca="false">-MAX(Inputs!$C$26,Inputs!$C$27*C37)</f>
        <v>-100</v>
      </c>
      <c r="D44" s="29" t="n">
        <f aca="false">-MAX(Inputs!$C$26,Inputs!$C$27*D37)</f>
        <v>-100</v>
      </c>
      <c r="E44" s="29" t="n">
        <f aca="false">-MAX(Inputs!$C$26,Inputs!$C$27*E37)</f>
        <v>-107.07552</v>
      </c>
      <c r="F44" s="29" t="n">
        <f aca="false">-MAX(Inputs!$C$26,Inputs!$C$27*F37)</f>
        <v>-115.6415616</v>
      </c>
      <c r="G44" s="29" t="n">
        <f aca="false">-MAX(Inputs!$C$26,Inputs!$C$27*G37)</f>
        <v>-124.892886528</v>
      </c>
    </row>
    <row r="45" customFormat="false" ht="15" hidden="false" customHeight="false" outlineLevel="0" collapsed="false">
      <c r="A45" s="7" t="s">
        <v>155</v>
      </c>
      <c r="C45" s="29" t="n">
        <f aca="false">-Inputs!$C$28*C37</f>
        <v>-137.7</v>
      </c>
      <c r="D45" s="29" t="n">
        <f aca="false">-Inputs!$C$28*D37</f>
        <v>-148.716</v>
      </c>
      <c r="E45" s="29" t="n">
        <f aca="false">-Inputs!$C$28*E37</f>
        <v>-160.61328</v>
      </c>
      <c r="F45" s="29" t="n">
        <f aca="false">-Inputs!$C$28*F37</f>
        <v>-173.4623424</v>
      </c>
      <c r="G45" s="29" t="n">
        <f aca="false">-Inputs!$C$28*G37</f>
        <v>-187.339329792</v>
      </c>
    </row>
    <row r="46" customFormat="false" ht="15" hidden="false" customHeight="false" outlineLevel="0" collapsed="false">
      <c r="A46" s="16" t="s">
        <v>156</v>
      </c>
      <c r="B46" s="32" t="n">
        <f aca="false">-Inputs!$C$29</f>
        <v>-25</v>
      </c>
      <c r="C46" s="32" t="n">
        <f aca="false">C42+C43</f>
        <v>-122.32</v>
      </c>
      <c r="D46" s="32" t="n">
        <f aca="false">D42+D43</f>
        <v>-67.1056</v>
      </c>
      <c r="E46" s="32" t="n">
        <f aca="false">E42+E43</f>
        <v>-61.064048</v>
      </c>
      <c r="F46" s="32" t="n">
        <f aca="false">F42+F43</f>
        <v>-54.11367184</v>
      </c>
      <c r="G46" s="32" t="n">
        <f aca="false">G42+G43</f>
        <v>-46.1656725872001</v>
      </c>
      <c r="I46" s="18" t="n">
        <f aca="false">B46+NPV(Inputs!$C$21,C46:G46)</f>
        <v>-303.163113107773</v>
      </c>
      <c r="J46" s="15" t="str">
        <f aca="false">IFERROR(IRR(B46:G46),"n/a")</f>
        <v>n/a</v>
      </c>
      <c r="K46" s="7" t="str">
        <f aca="false">IF(COUNTIF(C49:G49,"&lt;0")&gt;=5,"Beyond Y5","Year "&amp;(COUNTIF(C49:G49,"&lt;0")+1))</f>
        <v>Beyond Y5</v>
      </c>
    </row>
    <row r="47" customFormat="false" ht="15" hidden="false" customHeight="false" outlineLevel="0" collapsed="false">
      <c r="A47" s="16" t="s">
        <v>157</v>
      </c>
      <c r="B47" s="32" t="n">
        <f aca="false">-Inputs!$C$29</f>
        <v>-25</v>
      </c>
      <c r="C47" s="32" t="n">
        <f aca="false">C42+C44</f>
        <v>-22.32</v>
      </c>
      <c r="D47" s="32" t="n">
        <f aca="false">D42+D44</f>
        <v>40.8944</v>
      </c>
      <c r="E47" s="32" t="n">
        <f aca="false">E42+E44</f>
        <v>48.180432</v>
      </c>
      <c r="F47" s="32" t="n">
        <f aca="false">F42+F44</f>
        <v>55.21756656</v>
      </c>
      <c r="G47" s="32" t="n">
        <f aca="false">G42+G44</f>
        <v>62.9131528848</v>
      </c>
      <c r="I47" s="18" t="n">
        <f aca="false">B47+NPV(Inputs!$C$21,C47:G47)</f>
        <v>101.483246437961</v>
      </c>
      <c r="J47" s="15" t="n">
        <f aca="false">IFERROR(IRR(B47:G47),"n/a")</f>
        <v>0.647054132074263</v>
      </c>
      <c r="K47" s="7" t="str">
        <f aca="false">IF(COUNTIF(C50:G50,"&lt;0")&gt;=5,"Beyond Y5","Year "&amp;(COUNTIF(C50:G50,"&lt;0")+1))</f>
        <v>Year 3</v>
      </c>
    </row>
    <row r="48" customFormat="false" ht="15" hidden="false" customHeight="false" outlineLevel="0" collapsed="false">
      <c r="A48" s="16" t="s">
        <v>158</v>
      </c>
      <c r="B48" s="32" t="n">
        <f aca="false">-Inputs!$C$29</f>
        <v>-25</v>
      </c>
      <c r="C48" s="32" t="n">
        <f aca="false">C42+C45</f>
        <v>-60.02</v>
      </c>
      <c r="D48" s="32" t="n">
        <f aca="false">D42+D45</f>
        <v>-7.82159999999999</v>
      </c>
      <c r="E48" s="32" t="n">
        <f aca="false">E42+E45</f>
        <v>-5.357328</v>
      </c>
      <c r="F48" s="32" t="n">
        <f aca="false">F42+F45</f>
        <v>-2.60321424</v>
      </c>
      <c r="G48" s="32" t="n">
        <f aca="false">G42+G45</f>
        <v>0.466709620799975</v>
      </c>
      <c r="I48" s="18" t="n">
        <f aca="false">B48+NPV(Inputs!$C$21,C48:G48)</f>
        <v>-91.5410488126121</v>
      </c>
      <c r="J48" s="15" t="str">
        <f aca="false">IFERROR(IRR(B48:G48),"n/a")</f>
        <v>n/a</v>
      </c>
      <c r="K48" s="7" t="str">
        <f aca="false">IF(COUNTIF(C51:G51,"&lt;0")&gt;=5,"Beyond Y5","Year "&amp;(COUNTIF(C51:G51,"&lt;0")+1))</f>
        <v>Beyond Y5</v>
      </c>
    </row>
    <row r="49" customFormat="false" ht="15" hidden="false" customHeight="false" outlineLevel="0" collapsed="false">
      <c r="A49" s="7" t="s">
        <v>159</v>
      </c>
      <c r="C49" s="29" t="n">
        <f aca="false">B46+C46</f>
        <v>-147.32</v>
      </c>
      <c r="D49" s="29" t="n">
        <f aca="false">C49+D46</f>
        <v>-214.4256</v>
      </c>
      <c r="E49" s="29" t="n">
        <f aca="false">D49+E46</f>
        <v>-275.489648</v>
      </c>
      <c r="F49" s="29" t="n">
        <f aca="false">E49+F46</f>
        <v>-329.60331984</v>
      </c>
      <c r="G49" s="29" t="n">
        <f aca="false">F49+G46</f>
        <v>-375.7689924272</v>
      </c>
    </row>
    <row r="50" customFormat="false" ht="15" hidden="false" customHeight="false" outlineLevel="0" collapsed="false">
      <c r="A50" s="7" t="s">
        <v>160</v>
      </c>
      <c r="C50" s="29" t="n">
        <f aca="false">B47+C47</f>
        <v>-47.32</v>
      </c>
      <c r="D50" s="29" t="n">
        <f aca="false">C50+D47</f>
        <v>-6.4256</v>
      </c>
      <c r="E50" s="29" t="n">
        <f aca="false">D50+E47</f>
        <v>41.754832</v>
      </c>
      <c r="F50" s="29" t="n">
        <f aca="false">E50+F47</f>
        <v>96.97239856</v>
      </c>
      <c r="G50" s="29" t="n">
        <f aca="false">F50+G47</f>
        <v>159.8855514448</v>
      </c>
    </row>
    <row r="51" customFormat="false" ht="15" hidden="false" customHeight="false" outlineLevel="0" collapsed="false">
      <c r="A51" s="7" t="s">
        <v>161</v>
      </c>
      <c r="C51" s="29" t="n">
        <f aca="false">B48+C48</f>
        <v>-85.02</v>
      </c>
      <c r="D51" s="29" t="n">
        <f aca="false">C51+D48</f>
        <v>-92.8416</v>
      </c>
      <c r="E51" s="29" t="n">
        <f aca="false">D51+E48</f>
        <v>-98.198928</v>
      </c>
      <c r="F51" s="29" t="n">
        <f aca="false">E51+F48</f>
        <v>-100.80214224</v>
      </c>
      <c r="G51" s="29" t="n">
        <f aca="false">F51+G48</f>
        <v>-100.3354326192</v>
      </c>
    </row>
    <row r="54" customFormat="false" ht="15" hidden="false" customHeight="false" outlineLevel="0" collapsed="false">
      <c r="A54" s="6" t="s">
        <v>163</v>
      </c>
      <c r="B54" s="6" t="s">
        <v>134</v>
      </c>
      <c r="C54" s="6" t="s">
        <v>135</v>
      </c>
      <c r="D54" s="6" t="s">
        <v>136</v>
      </c>
      <c r="E54" s="6" t="s">
        <v>137</v>
      </c>
      <c r="F54" s="6" t="s">
        <v>138</v>
      </c>
      <c r="G54" s="6" t="s">
        <v>139</v>
      </c>
      <c r="H54" s="13"/>
      <c r="I54" s="6" t="s">
        <v>106</v>
      </c>
      <c r="J54" s="6" t="s">
        <v>112</v>
      </c>
      <c r="K54" s="6" t="s">
        <v>113</v>
      </c>
    </row>
    <row r="55" customFormat="false" ht="15" hidden="false" customHeight="false" outlineLevel="0" collapsed="false">
      <c r="A55" s="7" t="s">
        <v>140</v>
      </c>
      <c r="C55" s="27" t="n">
        <f aca="false">Inputs!$E$5</f>
        <v>1.5</v>
      </c>
      <c r="D55" s="28" t="n">
        <f aca="false">C55*(1+Inputs!$E$6)</f>
        <v>1.725</v>
      </c>
      <c r="E55" s="28" t="n">
        <f aca="false">D55*(1+Inputs!$E$6)</f>
        <v>1.98375</v>
      </c>
      <c r="F55" s="28" t="n">
        <f aca="false">E55*(1+Inputs!$E$6)</f>
        <v>2.2813125</v>
      </c>
      <c r="G55" s="28" t="n">
        <f aca="false">F55*(1+Inputs!$E$6)</f>
        <v>2.623509375</v>
      </c>
    </row>
    <row r="56" customFormat="false" ht="15" hidden="false" customHeight="false" outlineLevel="0" collapsed="false">
      <c r="A56" s="7" t="s">
        <v>141</v>
      </c>
      <c r="C56" s="29" t="n">
        <f aca="false">C55*Inputs!$C$12</f>
        <v>225</v>
      </c>
      <c r="D56" s="29" t="n">
        <f aca="false">D55*Inputs!$C$12</f>
        <v>258.75</v>
      </c>
      <c r="E56" s="29" t="n">
        <f aca="false">E55*Inputs!$C$12</f>
        <v>297.5625</v>
      </c>
      <c r="F56" s="29" t="n">
        <f aca="false">F55*Inputs!$C$12</f>
        <v>342.196875</v>
      </c>
      <c r="G56" s="29" t="n">
        <f aca="false">G55*Inputs!$C$12</f>
        <v>393.52640625</v>
      </c>
    </row>
    <row r="57" customFormat="false" ht="15" hidden="false" customHeight="false" outlineLevel="0" collapsed="false">
      <c r="A57" s="7" t="s">
        <v>142</v>
      </c>
      <c r="C57" s="29" t="n">
        <f aca="false">-C56*Inputs!$C$13</f>
        <v>-33.75</v>
      </c>
      <c r="D57" s="29" t="n">
        <f aca="false">-D56*Inputs!$C$13</f>
        <v>-38.8125</v>
      </c>
      <c r="E57" s="29" t="n">
        <f aca="false">-E56*Inputs!$C$13</f>
        <v>-44.634375</v>
      </c>
      <c r="F57" s="29" t="n">
        <f aca="false">-F56*Inputs!$C$13</f>
        <v>-51.32953125</v>
      </c>
      <c r="G57" s="29" t="n">
        <f aca="false">-G56*Inputs!$C$13</f>
        <v>-59.0289609375</v>
      </c>
    </row>
    <row r="58" customFormat="false" ht="15" hidden="false" customHeight="false" outlineLevel="0" collapsed="false">
      <c r="A58" s="7" t="s">
        <v>143</v>
      </c>
      <c r="C58" s="29" t="n">
        <f aca="false">C56+C57</f>
        <v>191.25</v>
      </c>
      <c r="D58" s="29" t="n">
        <f aca="false">D56+D57</f>
        <v>219.9375</v>
      </c>
      <c r="E58" s="29" t="n">
        <f aca="false">E56+E57</f>
        <v>252.928125</v>
      </c>
      <c r="F58" s="29" t="n">
        <f aca="false">F56+F57</f>
        <v>290.86734375</v>
      </c>
      <c r="G58" s="29" t="n">
        <f aca="false">G56+G57</f>
        <v>334.4974453125</v>
      </c>
    </row>
    <row r="59" customFormat="false" ht="15" hidden="false" customHeight="false" outlineLevel="0" collapsed="false">
      <c r="A59" s="7" t="s">
        <v>144</v>
      </c>
      <c r="C59" s="30" t="n">
        <f aca="false">Inputs!$E$7</f>
        <v>225</v>
      </c>
      <c r="D59" s="31" t="n">
        <f aca="false">C59*(1+Inputs!$E$6)</f>
        <v>258.75</v>
      </c>
      <c r="E59" s="31" t="n">
        <f aca="false">D59*(1+Inputs!$E$6)</f>
        <v>297.5625</v>
      </c>
      <c r="F59" s="31" t="n">
        <f aca="false">E59*(1+Inputs!$E$6)</f>
        <v>342.196875</v>
      </c>
      <c r="G59" s="31" t="n">
        <f aca="false">F59*(1+Inputs!$E$6)</f>
        <v>393.52640625</v>
      </c>
    </row>
    <row r="60" customFormat="false" ht="15" hidden="false" customHeight="false" outlineLevel="0" collapsed="false">
      <c r="A60" s="7" t="s">
        <v>145</v>
      </c>
      <c r="C60" s="31" t="n">
        <f aca="false">C59*Inputs!$C$14*Inputs!$C$15</f>
        <v>4500</v>
      </c>
      <c r="D60" s="31" t="n">
        <f aca="false">D59*Inputs!$C$14*Inputs!$C$15</f>
        <v>5175</v>
      </c>
      <c r="E60" s="31" t="n">
        <f aca="false">E59*Inputs!$C$14*Inputs!$C$15</f>
        <v>5951.25</v>
      </c>
      <c r="F60" s="31" t="n">
        <f aca="false">F59*Inputs!$C$14*Inputs!$C$15</f>
        <v>6843.9375</v>
      </c>
      <c r="G60" s="31" t="n">
        <f aca="false">G59*Inputs!$C$14*Inputs!$C$15</f>
        <v>7870.528125</v>
      </c>
    </row>
    <row r="61" customFormat="false" ht="15" hidden="false" customHeight="false" outlineLevel="0" collapsed="false">
      <c r="A61" s="7" t="s">
        <v>146</v>
      </c>
      <c r="C61" s="29" t="n">
        <f aca="false">C60*Inputs!$E$8/1000*Inputs!$C$16</f>
        <v>210.375</v>
      </c>
      <c r="D61" s="29" t="n">
        <f aca="false">D60*Inputs!$E$8/1000*Inputs!$C$16</f>
        <v>241.93125</v>
      </c>
      <c r="E61" s="29" t="n">
        <f aca="false">E60*Inputs!$E$8/1000*Inputs!$C$16</f>
        <v>278.2209375</v>
      </c>
      <c r="F61" s="29" t="n">
        <f aca="false">F60*Inputs!$E$8/1000*Inputs!$C$16</f>
        <v>319.954078125</v>
      </c>
      <c r="G61" s="29" t="n">
        <f aca="false">G60*Inputs!$E$8/1000*Inputs!$C$16</f>
        <v>367.94718984375</v>
      </c>
    </row>
    <row r="62" customFormat="false" ht="15" hidden="false" customHeight="false" outlineLevel="0" collapsed="false">
      <c r="A62" s="16" t="s">
        <v>147</v>
      </c>
      <c r="C62" s="32" t="n">
        <f aca="false">C58+C61</f>
        <v>401.625</v>
      </c>
      <c r="D62" s="32" t="n">
        <f aca="false">D58+D61</f>
        <v>461.86875</v>
      </c>
      <c r="E62" s="32" t="n">
        <f aca="false">E58+E61</f>
        <v>531.1490625</v>
      </c>
      <c r="F62" s="32" t="n">
        <f aca="false">F58+F61</f>
        <v>610.821421875</v>
      </c>
      <c r="G62" s="32" t="n">
        <f aca="false">G58+G61</f>
        <v>702.44463515625</v>
      </c>
    </row>
    <row r="63" customFormat="false" ht="15" hidden="false" customHeight="false" outlineLevel="0" collapsed="false">
      <c r="A63" s="7" t="s">
        <v>148</v>
      </c>
      <c r="C63" s="29" t="n">
        <f aca="false">-C61*Inputs!$E$9</f>
        <v>-31.55625</v>
      </c>
      <c r="D63" s="29" t="n">
        <f aca="false">-D61*Inputs!$E$9</f>
        <v>-36.2896875</v>
      </c>
      <c r="E63" s="29" t="n">
        <f aca="false">-E61*Inputs!$E$9</f>
        <v>-41.733140625</v>
      </c>
      <c r="F63" s="29" t="n">
        <f aca="false">-F61*Inputs!$E$9</f>
        <v>-47.99311171875</v>
      </c>
      <c r="G63" s="29" t="n">
        <f aca="false">-G61*Inputs!$E$9</f>
        <v>-55.1920784765625</v>
      </c>
    </row>
    <row r="64" customFormat="false" ht="15" hidden="false" customHeight="false" outlineLevel="0" collapsed="false">
      <c r="A64" s="16" t="s">
        <v>149</v>
      </c>
      <c r="C64" s="32" t="n">
        <f aca="false">C62+C63</f>
        <v>370.06875</v>
      </c>
      <c r="D64" s="32" t="n">
        <f aca="false">D62+D63</f>
        <v>425.5790625</v>
      </c>
      <c r="E64" s="32" t="n">
        <f aca="false">E62+E63</f>
        <v>489.415921875</v>
      </c>
      <c r="F64" s="32" t="n">
        <f aca="false">F62+F63</f>
        <v>562.82831015625</v>
      </c>
      <c r="G64" s="32" t="n">
        <f aca="false">G62+G63</f>
        <v>647.252556679687</v>
      </c>
    </row>
    <row r="65" customFormat="false" ht="15" hidden="false" customHeight="false" outlineLevel="0" collapsed="false">
      <c r="A65" s="7" t="s">
        <v>150</v>
      </c>
      <c r="C65" s="29" t="n">
        <f aca="false">-Inputs!$C$17*(1+Inputs!$C$18)^0</f>
        <v>-60</v>
      </c>
      <c r="D65" s="29" t="n">
        <f aca="false">-Inputs!$C$17*(1+Inputs!$C$18)^1</f>
        <v>-61.8</v>
      </c>
      <c r="E65" s="29" t="n">
        <f aca="false">-Inputs!$C$17*(1+Inputs!$C$18)^2</f>
        <v>-63.654</v>
      </c>
      <c r="F65" s="29" t="n">
        <f aca="false">-Inputs!$C$17*(1+Inputs!$C$18)^3</f>
        <v>-65.56362</v>
      </c>
      <c r="G65" s="29" t="n">
        <f aca="false">-Inputs!$C$17*(1+Inputs!$C$18)^4</f>
        <v>-67.5305286</v>
      </c>
    </row>
    <row r="66" customFormat="false" ht="15" hidden="false" customHeight="false" outlineLevel="0" collapsed="false">
      <c r="A66" s="7" t="s">
        <v>151</v>
      </c>
      <c r="C66" s="29" t="n">
        <f aca="false">-(C64*Inputs!$C$19+Inputs!$C$20)</f>
        <v>-79.6055</v>
      </c>
      <c r="D66" s="29" t="n">
        <f aca="false">-(D64*Inputs!$C$19)</f>
        <v>-34.046325</v>
      </c>
      <c r="E66" s="29" t="n">
        <f aca="false">-(E64*Inputs!$C$19)</f>
        <v>-39.15327375</v>
      </c>
      <c r="F66" s="29" t="n">
        <f aca="false">-(F64*Inputs!$C$19)</f>
        <v>-45.0262648125</v>
      </c>
      <c r="G66" s="29" t="n">
        <f aca="false">-(G64*Inputs!$C$19)</f>
        <v>-51.780204534375</v>
      </c>
    </row>
    <row r="67" customFormat="false" ht="15" hidden="false" customHeight="false" outlineLevel="0" collapsed="false">
      <c r="A67" s="16" t="s">
        <v>152</v>
      </c>
      <c r="C67" s="32" t="n">
        <f aca="false">C64+C65+C66</f>
        <v>230.46325</v>
      </c>
      <c r="D67" s="32" t="n">
        <f aca="false">D64+D65+D66</f>
        <v>329.7327375</v>
      </c>
      <c r="E67" s="32" t="n">
        <f aca="false">E64+E65+E66</f>
        <v>386.608648125</v>
      </c>
      <c r="F67" s="32" t="n">
        <f aca="false">F64+F65+F66</f>
        <v>452.23842534375</v>
      </c>
      <c r="G67" s="32" t="n">
        <f aca="false">G64+G65+G66</f>
        <v>527.941823545312</v>
      </c>
    </row>
    <row r="68" customFormat="false" ht="15" hidden="false" customHeight="false" outlineLevel="0" collapsed="false">
      <c r="A68" s="7" t="s">
        <v>153</v>
      </c>
      <c r="C68" s="29" t="n">
        <f aca="false">-Inputs!$C$24*(1+Inputs!$C$25)^0</f>
        <v>-200</v>
      </c>
      <c r="D68" s="29" t="n">
        <f aca="false">-Inputs!$C$24*(1+Inputs!$C$25)^1</f>
        <v>-208</v>
      </c>
      <c r="E68" s="29" t="n">
        <f aca="false">-Inputs!$C$24*(1+Inputs!$C$25)^2</f>
        <v>-216.32</v>
      </c>
      <c r="F68" s="29" t="n">
        <f aca="false">-Inputs!$C$24*(1+Inputs!$C$25)^3</f>
        <v>-224.9728</v>
      </c>
      <c r="G68" s="29" t="n">
        <f aca="false">-Inputs!$C$24*(1+Inputs!$C$25)^4</f>
        <v>-233.971712</v>
      </c>
    </row>
    <row r="69" customFormat="false" ht="15" hidden="false" customHeight="false" outlineLevel="0" collapsed="false">
      <c r="A69" s="7" t="s">
        <v>154</v>
      </c>
      <c r="C69" s="29" t="n">
        <f aca="false">-MAX(Inputs!$C$26,Inputs!$C$27*C62)</f>
        <v>-160.65</v>
      </c>
      <c r="D69" s="29" t="n">
        <f aca="false">-MAX(Inputs!$C$26,Inputs!$C$27*D62)</f>
        <v>-184.7475</v>
      </c>
      <c r="E69" s="29" t="n">
        <f aca="false">-MAX(Inputs!$C$26,Inputs!$C$27*E62)</f>
        <v>-212.459625</v>
      </c>
      <c r="F69" s="29" t="n">
        <f aca="false">-MAX(Inputs!$C$26,Inputs!$C$27*F62)</f>
        <v>-244.32856875</v>
      </c>
      <c r="G69" s="29" t="n">
        <f aca="false">-MAX(Inputs!$C$26,Inputs!$C$27*G62)</f>
        <v>-280.9778540625</v>
      </c>
    </row>
    <row r="70" customFormat="false" ht="15" hidden="false" customHeight="false" outlineLevel="0" collapsed="false">
      <c r="A70" s="7" t="s">
        <v>155</v>
      </c>
      <c r="C70" s="29" t="n">
        <f aca="false">-Inputs!$C$28*C62</f>
        <v>-240.975</v>
      </c>
      <c r="D70" s="29" t="n">
        <f aca="false">-Inputs!$C$28*D62</f>
        <v>-277.12125</v>
      </c>
      <c r="E70" s="29" t="n">
        <f aca="false">-Inputs!$C$28*E62</f>
        <v>-318.6894375</v>
      </c>
      <c r="F70" s="29" t="n">
        <f aca="false">-Inputs!$C$28*F62</f>
        <v>-366.492853125</v>
      </c>
      <c r="G70" s="29" t="n">
        <f aca="false">-Inputs!$C$28*G62</f>
        <v>-421.46678109375</v>
      </c>
    </row>
    <row r="71" customFormat="false" ht="15" hidden="false" customHeight="false" outlineLevel="0" collapsed="false">
      <c r="A71" s="16" t="s">
        <v>156</v>
      </c>
      <c r="B71" s="32" t="n">
        <f aca="false">-Inputs!$C$29</f>
        <v>-25</v>
      </c>
      <c r="C71" s="32" t="n">
        <f aca="false">C67+C68</f>
        <v>30.46325</v>
      </c>
      <c r="D71" s="32" t="n">
        <f aca="false">D67+D68</f>
        <v>121.7327375</v>
      </c>
      <c r="E71" s="32" t="n">
        <f aca="false">E67+E68</f>
        <v>170.288648125</v>
      </c>
      <c r="F71" s="32" t="n">
        <f aca="false">F67+F68</f>
        <v>227.26562534375</v>
      </c>
      <c r="G71" s="32" t="n">
        <f aca="false">G67+G68</f>
        <v>293.970111545312</v>
      </c>
      <c r="I71" s="18" t="n">
        <f aca="false">B71+NPV(Inputs!$C$21,C71:G71)</f>
        <v>568.997604232316</v>
      </c>
      <c r="J71" s="15" t="n">
        <f aca="false">IFERROR(IRR(B71:G71),"n/a")</f>
        <v>2.47804934548571</v>
      </c>
      <c r="K71" s="7" t="str">
        <f aca="false">IF(COUNTIF(C74:G74,"&lt;0")&gt;=5,"Beyond Y5","Year "&amp;(COUNTIF(C74:G74,"&lt;0")+1))</f>
        <v>Year 1</v>
      </c>
    </row>
    <row r="72" customFormat="false" ht="15" hidden="false" customHeight="false" outlineLevel="0" collapsed="false">
      <c r="A72" s="16" t="s">
        <v>157</v>
      </c>
      <c r="B72" s="32" t="n">
        <f aca="false">-Inputs!$C$29</f>
        <v>-25</v>
      </c>
      <c r="C72" s="32" t="n">
        <f aca="false">C67+C69</f>
        <v>69.81325</v>
      </c>
      <c r="D72" s="32" t="n">
        <f aca="false">D67+D69</f>
        <v>144.9852375</v>
      </c>
      <c r="E72" s="32" t="n">
        <f aca="false">E67+E69</f>
        <v>174.149023125</v>
      </c>
      <c r="F72" s="32" t="n">
        <f aca="false">F67+F69</f>
        <v>207.90985659375</v>
      </c>
      <c r="G72" s="32" t="n">
        <f aca="false">G67+G69</f>
        <v>246.963969482812</v>
      </c>
      <c r="I72" s="18" t="n">
        <f aca="false">B72+NPV(Inputs!$C$21,C72:G72)</f>
        <v>584.480264111795</v>
      </c>
      <c r="J72" s="15" t="n">
        <f aca="false">IFERROR(IRR(B72:G72),"n/a")</f>
        <v>3.52678149632174</v>
      </c>
      <c r="K72" s="7" t="str">
        <f aca="false">IF(COUNTIF(C75:G75,"&lt;0")&gt;=5,"Beyond Y5","Year "&amp;(COUNTIF(C75:G75,"&lt;0")+1))</f>
        <v>Year 1</v>
      </c>
    </row>
    <row r="73" customFormat="false" ht="15" hidden="false" customHeight="false" outlineLevel="0" collapsed="false">
      <c r="A73" s="16" t="s">
        <v>158</v>
      </c>
      <c r="B73" s="32" t="n">
        <f aca="false">-Inputs!$C$29</f>
        <v>-25</v>
      </c>
      <c r="C73" s="32" t="n">
        <f aca="false">C67+C70</f>
        <v>-10.51175</v>
      </c>
      <c r="D73" s="32" t="n">
        <f aca="false">D67+D70</f>
        <v>52.6114875</v>
      </c>
      <c r="E73" s="32" t="n">
        <f aca="false">E67+E70</f>
        <v>67.919210625</v>
      </c>
      <c r="F73" s="32" t="n">
        <f aca="false">F67+F70</f>
        <v>85.7455722187499</v>
      </c>
      <c r="G73" s="32" t="n">
        <f aca="false">G67+G70</f>
        <v>106.475042451562</v>
      </c>
      <c r="I73" s="18" t="n">
        <f aca="false">B73+NPV(Inputs!$C$21,C73:G73)</f>
        <v>184.631143821483</v>
      </c>
      <c r="J73" s="15" t="n">
        <f aca="false">IFERROR(IRR(B73:G73),"n/a")</f>
        <v>1.00173735246828</v>
      </c>
      <c r="K73" s="7" t="str">
        <f aca="false">IF(COUNTIF(C76:G76,"&lt;0")&gt;=5,"Beyond Y5","Year "&amp;(COUNTIF(C76:G76,"&lt;0")+1))</f>
        <v>Year 2</v>
      </c>
    </row>
    <row r="74" customFormat="false" ht="15" hidden="false" customHeight="false" outlineLevel="0" collapsed="false">
      <c r="A74" s="7" t="s">
        <v>159</v>
      </c>
      <c r="C74" s="29" t="n">
        <f aca="false">B71+C71</f>
        <v>5.46325000000002</v>
      </c>
      <c r="D74" s="29" t="n">
        <f aca="false">C74+D71</f>
        <v>127.1959875</v>
      </c>
      <c r="E74" s="29" t="n">
        <f aca="false">D74+E71</f>
        <v>297.484635625</v>
      </c>
      <c r="F74" s="29" t="n">
        <f aca="false">E74+F71</f>
        <v>524.75026096875</v>
      </c>
      <c r="G74" s="29" t="n">
        <f aca="false">F74+G71</f>
        <v>818.720372514062</v>
      </c>
    </row>
    <row r="75" customFormat="false" ht="15" hidden="false" customHeight="false" outlineLevel="0" collapsed="false">
      <c r="A75" s="7" t="s">
        <v>160</v>
      </c>
      <c r="C75" s="29" t="n">
        <f aca="false">B72+C72</f>
        <v>44.81325</v>
      </c>
      <c r="D75" s="29" t="n">
        <f aca="false">C75+D72</f>
        <v>189.7984875</v>
      </c>
      <c r="E75" s="29" t="n">
        <f aca="false">D75+E72</f>
        <v>363.947510625</v>
      </c>
      <c r="F75" s="29" t="n">
        <f aca="false">E75+F72</f>
        <v>571.85736721875</v>
      </c>
      <c r="G75" s="29" t="n">
        <f aca="false">F75+G72</f>
        <v>818.821336701562</v>
      </c>
    </row>
    <row r="76" customFormat="false" ht="15" hidden="false" customHeight="false" outlineLevel="0" collapsed="false">
      <c r="A76" s="7" t="s">
        <v>161</v>
      </c>
      <c r="C76" s="29" t="n">
        <f aca="false">B73+C73</f>
        <v>-35.51175</v>
      </c>
      <c r="D76" s="29" t="n">
        <f aca="false">C76+D73</f>
        <v>17.0997375</v>
      </c>
      <c r="E76" s="29" t="n">
        <f aca="false">D76+E73</f>
        <v>85.018948125</v>
      </c>
      <c r="F76" s="29" t="n">
        <f aca="false">E76+F73</f>
        <v>170.76452034375</v>
      </c>
      <c r="G76" s="29" t="n">
        <f aca="false">F76+G73</f>
        <v>277.239562795312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11" min="3" style="0" width="13"/>
  </cols>
  <sheetData>
    <row r="1" customFormat="false" ht="17.35" hidden="false" customHeight="false" outlineLevel="0" collapsed="false">
      <c r="A1" s="4" t="s">
        <v>164</v>
      </c>
    </row>
    <row r="3" customFormat="false" ht="15" hidden="false" customHeight="false" outlineLevel="0" collapsed="false">
      <c r="A3" s="6" t="s">
        <v>165</v>
      </c>
      <c r="B3" s="6" t="s">
        <v>134</v>
      </c>
      <c r="C3" s="6" t="s">
        <v>135</v>
      </c>
      <c r="D3" s="6" t="s">
        <v>136</v>
      </c>
      <c r="E3" s="6" t="s">
        <v>137</v>
      </c>
      <c r="F3" s="6" t="s">
        <v>138</v>
      </c>
      <c r="G3" s="6" t="s">
        <v>139</v>
      </c>
      <c r="H3" s="13"/>
      <c r="I3" s="6" t="s">
        <v>106</v>
      </c>
      <c r="J3" s="6" t="s">
        <v>112</v>
      </c>
      <c r="K3" s="6" t="s">
        <v>113</v>
      </c>
    </row>
    <row r="4" customFormat="false" ht="15" hidden="false" customHeight="false" outlineLevel="0" collapsed="false">
      <c r="A4" s="7" t="s">
        <v>140</v>
      </c>
      <c r="C4" s="27" t="n">
        <f aca="false">(Inputs!$D$5*(1-Inputs!$C$35))</f>
        <v>0.8</v>
      </c>
      <c r="D4" s="28" t="n">
        <f aca="false">C4*(1+Inputs!$D$6)</f>
        <v>0.864</v>
      </c>
      <c r="E4" s="28" t="n">
        <f aca="false">D4*(1+Inputs!$D$6)</f>
        <v>0.93312</v>
      </c>
      <c r="F4" s="28" t="n">
        <f aca="false">E4*(1+Inputs!$D$6)</f>
        <v>1.0077696</v>
      </c>
      <c r="G4" s="28" t="n">
        <f aca="false">F4*(1+Inputs!$D$6)</f>
        <v>1.088391168</v>
      </c>
    </row>
    <row r="5" customFormat="false" ht="15" hidden="false" customHeight="false" outlineLevel="0" collapsed="false">
      <c r="A5" s="7" t="s">
        <v>141</v>
      </c>
      <c r="C5" s="29" t="n">
        <f aca="false">C4*Inputs!$C$12</f>
        <v>120</v>
      </c>
      <c r="D5" s="29" t="n">
        <f aca="false">D4*Inputs!$C$12</f>
        <v>129.6</v>
      </c>
      <c r="E5" s="29" t="n">
        <f aca="false">E4*Inputs!$C$12</f>
        <v>139.968</v>
      </c>
      <c r="F5" s="29" t="n">
        <f aca="false">F4*Inputs!$C$12</f>
        <v>151.16544</v>
      </c>
      <c r="G5" s="29" t="n">
        <f aca="false">G4*Inputs!$C$12</f>
        <v>163.2586752</v>
      </c>
    </row>
    <row r="6" customFormat="false" ht="15" hidden="false" customHeight="false" outlineLevel="0" collapsed="false">
      <c r="A6" s="7" t="s">
        <v>142</v>
      </c>
      <c r="C6" s="29" t="n">
        <f aca="false">-C5*Inputs!$C$13</f>
        <v>-18</v>
      </c>
      <c r="D6" s="29" t="n">
        <f aca="false">-D5*Inputs!$C$13</f>
        <v>-19.44</v>
      </c>
      <c r="E6" s="29" t="n">
        <f aca="false">-E5*Inputs!$C$13</f>
        <v>-20.9952</v>
      </c>
      <c r="F6" s="29" t="n">
        <f aca="false">-F5*Inputs!$C$13</f>
        <v>-22.674816</v>
      </c>
      <c r="G6" s="29" t="n">
        <f aca="false">-G5*Inputs!$C$13</f>
        <v>-24.48880128</v>
      </c>
    </row>
    <row r="7" customFormat="false" ht="15" hidden="false" customHeight="false" outlineLevel="0" collapsed="false">
      <c r="A7" s="7" t="s">
        <v>143</v>
      </c>
      <c r="C7" s="29" t="n">
        <f aca="false">C5+C6</f>
        <v>102</v>
      </c>
      <c r="D7" s="29" t="n">
        <f aca="false">D5+D6</f>
        <v>110.16</v>
      </c>
      <c r="E7" s="29" t="n">
        <f aca="false">E5+E6</f>
        <v>118.9728</v>
      </c>
      <c r="F7" s="29" t="n">
        <f aca="false">F5+F6</f>
        <v>128.490624</v>
      </c>
      <c r="G7" s="29" t="n">
        <f aca="false">G5+G6</f>
        <v>138.76987392</v>
      </c>
    </row>
    <row r="8" customFormat="false" ht="15" hidden="false" customHeight="false" outlineLevel="0" collapsed="false">
      <c r="A8" s="7" t="s">
        <v>144</v>
      </c>
      <c r="C8" s="30" t="n">
        <f aca="false">Inputs!$D$7</f>
        <v>150</v>
      </c>
      <c r="D8" s="31" t="n">
        <f aca="false">C8*(1+Inputs!$D$6)</f>
        <v>162</v>
      </c>
      <c r="E8" s="31" t="n">
        <f aca="false">D8*(1+Inputs!$D$6)</f>
        <v>174.96</v>
      </c>
      <c r="F8" s="31" t="n">
        <f aca="false">E8*(1+Inputs!$D$6)</f>
        <v>188.9568</v>
      </c>
      <c r="G8" s="31" t="n">
        <f aca="false">F8*(1+Inputs!$D$6)</f>
        <v>204.073344</v>
      </c>
    </row>
    <row r="9" customFormat="false" ht="15" hidden="false" customHeight="false" outlineLevel="0" collapsed="false">
      <c r="A9" s="7" t="s">
        <v>145</v>
      </c>
      <c r="C9" s="31" t="n">
        <f aca="false">C8*Inputs!$C$14*Inputs!$C$15</f>
        <v>3000</v>
      </c>
      <c r="D9" s="31" t="n">
        <f aca="false">D8*Inputs!$C$14*Inputs!$C$15</f>
        <v>3240</v>
      </c>
      <c r="E9" s="31" t="n">
        <f aca="false">E8*Inputs!$C$14*Inputs!$C$15</f>
        <v>3499.2</v>
      </c>
      <c r="F9" s="31" t="n">
        <f aca="false">F8*Inputs!$C$14*Inputs!$C$15</f>
        <v>3779.136</v>
      </c>
      <c r="G9" s="31" t="n">
        <f aca="false">G8*Inputs!$C$14*Inputs!$C$15</f>
        <v>4081.46688</v>
      </c>
    </row>
    <row r="10" customFormat="false" ht="15" hidden="false" customHeight="false" outlineLevel="0" collapsed="false">
      <c r="A10" s="7" t="s">
        <v>146</v>
      </c>
      <c r="C10" s="29" t="n">
        <f aca="false">C9*Inputs!$D$8/1000*Inputs!$C$16</f>
        <v>102</v>
      </c>
      <c r="D10" s="29" t="n">
        <f aca="false">D9*Inputs!$D$8/1000*Inputs!$C$16</f>
        <v>110.16</v>
      </c>
      <c r="E10" s="29" t="n">
        <f aca="false">E9*Inputs!$D$8/1000*Inputs!$C$16</f>
        <v>118.9728</v>
      </c>
      <c r="F10" s="29" t="n">
        <f aca="false">F9*Inputs!$D$8/1000*Inputs!$C$16</f>
        <v>128.490624</v>
      </c>
      <c r="G10" s="29" t="n">
        <f aca="false">G9*Inputs!$D$8/1000*Inputs!$C$16</f>
        <v>138.76987392</v>
      </c>
    </row>
    <row r="11" customFormat="false" ht="15" hidden="false" customHeight="false" outlineLevel="0" collapsed="false">
      <c r="A11" s="16" t="s">
        <v>147</v>
      </c>
      <c r="C11" s="32" t="n">
        <f aca="false">C7+C10</f>
        <v>204</v>
      </c>
      <c r="D11" s="32" t="n">
        <f aca="false">D7+D10</f>
        <v>220.32</v>
      </c>
      <c r="E11" s="32" t="n">
        <f aca="false">E7+E10</f>
        <v>237.9456</v>
      </c>
      <c r="F11" s="32" t="n">
        <f aca="false">F7+F10</f>
        <v>256.981248</v>
      </c>
      <c r="G11" s="32" t="n">
        <f aca="false">G7+G10</f>
        <v>277.53974784</v>
      </c>
    </row>
    <row r="12" customFormat="false" ht="15" hidden="false" customHeight="false" outlineLevel="0" collapsed="false">
      <c r="A12" s="7" t="s">
        <v>148</v>
      </c>
      <c r="C12" s="29" t="n">
        <f aca="false">-C10*Inputs!$D$9</f>
        <v>-25.5</v>
      </c>
      <c r="D12" s="29" t="n">
        <f aca="false">-D10*Inputs!$D$9</f>
        <v>-27.54</v>
      </c>
      <c r="E12" s="29" t="n">
        <f aca="false">-E10*Inputs!$D$9</f>
        <v>-29.7432</v>
      </c>
      <c r="F12" s="29" t="n">
        <f aca="false">-F10*Inputs!$D$9</f>
        <v>-32.122656</v>
      </c>
      <c r="G12" s="29" t="n">
        <f aca="false">-G10*Inputs!$D$9</f>
        <v>-34.69246848</v>
      </c>
    </row>
    <row r="13" customFormat="false" ht="15" hidden="false" customHeight="false" outlineLevel="0" collapsed="false">
      <c r="A13" s="16" t="s">
        <v>149</v>
      </c>
      <c r="C13" s="32" t="n">
        <f aca="false">C11+C12</f>
        <v>178.5</v>
      </c>
      <c r="D13" s="32" t="n">
        <f aca="false">D11+D12</f>
        <v>192.78</v>
      </c>
      <c r="E13" s="32" t="n">
        <f aca="false">E11+E12</f>
        <v>208.2024</v>
      </c>
      <c r="F13" s="32" t="n">
        <f aca="false">F11+F12</f>
        <v>224.858592</v>
      </c>
      <c r="G13" s="32" t="n">
        <f aca="false">G11+G12</f>
        <v>242.84727936</v>
      </c>
    </row>
    <row r="14" customFormat="false" ht="15" hidden="false" customHeight="false" outlineLevel="0" collapsed="false">
      <c r="A14" s="7" t="s">
        <v>150</v>
      </c>
      <c r="C14" s="29" t="n">
        <f aca="false">-Inputs!$C$17*(1+Inputs!$C$18)^0</f>
        <v>-60</v>
      </c>
      <c r="D14" s="29" t="n">
        <f aca="false">-Inputs!$C$17*(1+Inputs!$C$18)^1</f>
        <v>-61.8</v>
      </c>
      <c r="E14" s="29" t="n">
        <f aca="false">-Inputs!$C$17*(1+Inputs!$C$18)^2</f>
        <v>-63.654</v>
      </c>
      <c r="F14" s="29" t="n">
        <f aca="false">-Inputs!$C$17*(1+Inputs!$C$18)^3</f>
        <v>-65.56362</v>
      </c>
      <c r="G14" s="29" t="n">
        <f aca="false">-Inputs!$C$17*(1+Inputs!$C$18)^4</f>
        <v>-67.5305286</v>
      </c>
    </row>
    <row r="15" customFormat="false" ht="15" hidden="false" customHeight="false" outlineLevel="0" collapsed="false">
      <c r="A15" s="7" t="s">
        <v>151</v>
      </c>
      <c r="C15" s="29" t="n">
        <f aca="false">-(C13*Inputs!$C$19+Inputs!$C$20)</f>
        <v>-64.28</v>
      </c>
      <c r="D15" s="29" t="n">
        <f aca="false">-(D13*Inputs!$C$19)</f>
        <v>-15.4224</v>
      </c>
      <c r="E15" s="29" t="n">
        <f aca="false">-(E13*Inputs!$C$19)</f>
        <v>-16.656192</v>
      </c>
      <c r="F15" s="29" t="n">
        <f aca="false">-(F13*Inputs!$C$19)</f>
        <v>-17.98868736</v>
      </c>
      <c r="G15" s="29" t="n">
        <f aca="false">-(G13*Inputs!$C$19)</f>
        <v>-19.4277823488</v>
      </c>
    </row>
    <row r="16" customFormat="false" ht="15" hidden="false" customHeight="false" outlineLevel="0" collapsed="false">
      <c r="A16" s="16" t="s">
        <v>152</v>
      </c>
      <c r="C16" s="32" t="n">
        <f aca="false">C13+C14+C15</f>
        <v>54.22</v>
      </c>
      <c r="D16" s="32" t="n">
        <f aca="false">D13+D14+D15</f>
        <v>115.5576</v>
      </c>
      <c r="E16" s="32" t="n">
        <f aca="false">E13+E14+E15</f>
        <v>127.892208</v>
      </c>
      <c r="F16" s="32" t="n">
        <f aca="false">F13+F14+F15</f>
        <v>141.30628464</v>
      </c>
      <c r="G16" s="32" t="n">
        <f aca="false">G13+G14+G15</f>
        <v>155.8889684112</v>
      </c>
    </row>
    <row r="17" customFormat="false" ht="15" hidden="false" customHeight="false" outlineLevel="0" collapsed="false">
      <c r="A17" s="7" t="s">
        <v>153</v>
      </c>
      <c r="C17" s="29" t="n">
        <f aca="false">-Inputs!$C$24*(1+Inputs!$C$25)^0</f>
        <v>-200</v>
      </c>
      <c r="D17" s="29" t="n">
        <f aca="false">-Inputs!$C$24*(1+Inputs!$C$25)^1</f>
        <v>-208</v>
      </c>
      <c r="E17" s="29" t="n">
        <f aca="false">-Inputs!$C$24*(1+Inputs!$C$25)^2</f>
        <v>-216.32</v>
      </c>
      <c r="F17" s="29" t="n">
        <f aca="false">-Inputs!$C$24*(1+Inputs!$C$25)^3</f>
        <v>-224.9728</v>
      </c>
      <c r="G17" s="29" t="n">
        <f aca="false">-Inputs!$C$24*(1+Inputs!$C$25)^4</f>
        <v>-233.971712</v>
      </c>
    </row>
    <row r="18" customFormat="false" ht="15" hidden="false" customHeight="false" outlineLevel="0" collapsed="false">
      <c r="A18" s="7" t="s">
        <v>154</v>
      </c>
      <c r="C18" s="29" t="n">
        <f aca="false">-MAX(Inputs!$C$26,Inputs!$C$27*C11)</f>
        <v>-100</v>
      </c>
      <c r="D18" s="29" t="n">
        <f aca="false">-MAX(Inputs!$C$26,Inputs!$C$27*D11)</f>
        <v>-100</v>
      </c>
      <c r="E18" s="29" t="n">
        <f aca="false">-MAX(Inputs!$C$26,Inputs!$C$27*E11)</f>
        <v>-100</v>
      </c>
      <c r="F18" s="29" t="n">
        <f aca="false">-MAX(Inputs!$C$26,Inputs!$C$27*F11)</f>
        <v>-102.7924992</v>
      </c>
      <c r="G18" s="29" t="n">
        <f aca="false">-MAX(Inputs!$C$26,Inputs!$C$27*G11)</f>
        <v>-111.015899136</v>
      </c>
    </row>
    <row r="19" customFormat="false" ht="15" hidden="false" customHeight="false" outlineLevel="0" collapsed="false">
      <c r="A19" s="7" t="s">
        <v>155</v>
      </c>
      <c r="C19" s="29" t="n">
        <f aca="false">-Inputs!$C$28*C11</f>
        <v>-122.4</v>
      </c>
      <c r="D19" s="29" t="n">
        <f aca="false">-Inputs!$C$28*D11</f>
        <v>-132.192</v>
      </c>
      <c r="E19" s="29" t="n">
        <f aca="false">-Inputs!$C$28*E11</f>
        <v>-142.76736</v>
      </c>
      <c r="F19" s="29" t="n">
        <f aca="false">-Inputs!$C$28*F11</f>
        <v>-154.1887488</v>
      </c>
      <c r="G19" s="29" t="n">
        <f aca="false">-Inputs!$C$28*G11</f>
        <v>-166.523848704</v>
      </c>
    </row>
    <row r="20" customFormat="false" ht="15" hidden="false" customHeight="false" outlineLevel="0" collapsed="false">
      <c r="A20" s="16" t="s">
        <v>156</v>
      </c>
      <c r="B20" s="32" t="n">
        <f aca="false">-Inputs!$C$29</f>
        <v>-25</v>
      </c>
      <c r="C20" s="32" t="n">
        <f aca="false">C16+C17</f>
        <v>-145.78</v>
      </c>
      <c r="D20" s="32" t="n">
        <f aca="false">D16+D17</f>
        <v>-92.4424</v>
      </c>
      <c r="E20" s="32" t="n">
        <f aca="false">E16+E17</f>
        <v>-88.427792</v>
      </c>
      <c r="F20" s="32" t="n">
        <f aca="false">F16+F17</f>
        <v>-83.66651536</v>
      </c>
      <c r="G20" s="32" t="n">
        <f aca="false">G16+G17</f>
        <v>-78.0827435888001</v>
      </c>
      <c r="I20" s="18" t="n">
        <f aca="false">B20+NPV(Inputs!$C$21,C20:G20)</f>
        <v>-405.991655565504</v>
      </c>
      <c r="J20" s="15" t="str">
        <f aca="false">IFERROR(IRR(B20:G20),"n/a")</f>
        <v>n/a</v>
      </c>
      <c r="K20" s="7" t="str">
        <f aca="false">IF(COUNTIF(C23:G23,"&lt;0")&gt;=5,"Beyond Y5","Year "&amp;(COUNTIF(C23:G23,"&lt;0")+1))</f>
        <v>Beyond Y5</v>
      </c>
    </row>
    <row r="21" customFormat="false" ht="15" hidden="false" customHeight="false" outlineLevel="0" collapsed="false">
      <c r="A21" s="16" t="s">
        <v>157</v>
      </c>
      <c r="B21" s="32" t="n">
        <f aca="false">-Inputs!$C$29</f>
        <v>-25</v>
      </c>
      <c r="C21" s="32" t="n">
        <f aca="false">C16+C18</f>
        <v>-45.78</v>
      </c>
      <c r="D21" s="32" t="n">
        <f aca="false">D16+D18</f>
        <v>15.5576</v>
      </c>
      <c r="E21" s="32" t="n">
        <f aca="false">E16+E18</f>
        <v>27.892208</v>
      </c>
      <c r="F21" s="32" t="n">
        <f aca="false">F16+F18</f>
        <v>38.51378544</v>
      </c>
      <c r="G21" s="32" t="n">
        <f aca="false">G16+G18</f>
        <v>44.8730692752</v>
      </c>
      <c r="I21" s="18" t="n">
        <f aca="false">B21+NPV(Inputs!$C$21,C21:G21)</f>
        <v>21.3632467598462</v>
      </c>
      <c r="J21" s="15" t="n">
        <f aca="false">IFERROR(IRR(B21:G21),"n/a")</f>
        <v>0.20247157667263</v>
      </c>
      <c r="K21" s="7" t="str">
        <f aca="false">IF(COUNTIF(C24:G24,"&lt;0")&gt;=5,"Beyond Y5","Year "&amp;(COUNTIF(C24:G24,"&lt;0")+1))</f>
        <v>Year 4</v>
      </c>
    </row>
    <row r="22" customFormat="false" ht="15" hidden="false" customHeight="false" outlineLevel="0" collapsed="false">
      <c r="A22" s="16" t="s">
        <v>158</v>
      </c>
      <c r="B22" s="32" t="n">
        <f aca="false">-Inputs!$C$29</f>
        <v>-25</v>
      </c>
      <c r="C22" s="32" t="n">
        <f aca="false">C16+C19</f>
        <v>-68.18</v>
      </c>
      <c r="D22" s="32" t="n">
        <f aca="false">D16+D19</f>
        <v>-16.6344</v>
      </c>
      <c r="E22" s="32" t="n">
        <f aca="false">E16+E19</f>
        <v>-14.875152</v>
      </c>
      <c r="F22" s="32" t="n">
        <f aca="false">F16+F19</f>
        <v>-12.88246416</v>
      </c>
      <c r="G22" s="32" t="n">
        <f aca="false">G16+G19</f>
        <v>-10.6348802928</v>
      </c>
      <c r="I22" s="18" t="n">
        <f aca="false">B22+NPV(Inputs!$C$21,C22:G22)</f>
        <v>-127.307498363127</v>
      </c>
      <c r="J22" s="15" t="str">
        <f aca="false">IFERROR(IRR(B22:G22),"n/a")</f>
        <v>n/a</v>
      </c>
      <c r="K22" s="7" t="str">
        <f aca="false">IF(COUNTIF(C25:G25,"&lt;0")&gt;=5,"Beyond Y5","Year "&amp;(COUNTIF(C25:G25,"&lt;0")+1))</f>
        <v>Beyond Y5</v>
      </c>
    </row>
    <row r="23" customFormat="false" ht="15" hidden="false" customHeight="false" outlineLevel="0" collapsed="false">
      <c r="A23" s="7" t="s">
        <v>159</v>
      </c>
      <c r="C23" s="29" t="n">
        <f aca="false">B20+C20</f>
        <v>-170.78</v>
      </c>
      <c r="D23" s="29" t="n">
        <f aca="false">C23+D20</f>
        <v>-263.2224</v>
      </c>
      <c r="E23" s="29" t="n">
        <f aca="false">D23+E20</f>
        <v>-351.650192</v>
      </c>
      <c r="F23" s="29" t="n">
        <f aca="false">E23+F20</f>
        <v>-435.31670736</v>
      </c>
      <c r="G23" s="29" t="n">
        <f aca="false">F23+G20</f>
        <v>-513.3994509488</v>
      </c>
    </row>
    <row r="24" customFormat="false" ht="15" hidden="false" customHeight="false" outlineLevel="0" collapsed="false">
      <c r="A24" s="7" t="s">
        <v>160</v>
      </c>
      <c r="C24" s="29" t="n">
        <f aca="false">B21+C21</f>
        <v>-70.78</v>
      </c>
      <c r="D24" s="29" t="n">
        <f aca="false">C24+D21</f>
        <v>-55.2224</v>
      </c>
      <c r="E24" s="29" t="n">
        <f aca="false">D24+E21</f>
        <v>-27.330192</v>
      </c>
      <c r="F24" s="29" t="n">
        <f aca="false">E24+F21</f>
        <v>11.18359344</v>
      </c>
      <c r="G24" s="29" t="n">
        <f aca="false">F24+G21</f>
        <v>56.0566627152</v>
      </c>
    </row>
    <row r="25" customFormat="false" ht="15" hidden="false" customHeight="false" outlineLevel="0" collapsed="false">
      <c r="A25" s="7" t="s">
        <v>161</v>
      </c>
      <c r="C25" s="29" t="n">
        <f aca="false">B22+C22</f>
        <v>-93.18</v>
      </c>
      <c r="D25" s="29" t="n">
        <f aca="false">C25+D22</f>
        <v>-109.8144</v>
      </c>
      <c r="E25" s="29" t="n">
        <f aca="false">D25+E22</f>
        <v>-124.689552</v>
      </c>
      <c r="F25" s="29" t="n">
        <f aca="false">E25+F22</f>
        <v>-137.57201616</v>
      </c>
      <c r="G25" s="29" t="n">
        <f aca="false">F25+G22</f>
        <v>-148.2068964528</v>
      </c>
    </row>
    <row r="28" customFormat="false" ht="15" hidden="false" customHeight="false" outlineLevel="0" collapsed="false">
      <c r="A28" s="6" t="s">
        <v>166</v>
      </c>
      <c r="B28" s="6" t="s">
        <v>134</v>
      </c>
      <c r="C28" s="6" t="s">
        <v>135</v>
      </c>
      <c r="D28" s="6" t="s">
        <v>136</v>
      </c>
      <c r="E28" s="6" t="s">
        <v>137</v>
      </c>
      <c r="F28" s="6" t="s">
        <v>138</v>
      </c>
      <c r="G28" s="6" t="s">
        <v>139</v>
      </c>
      <c r="H28" s="13"/>
      <c r="I28" s="6" t="s">
        <v>106</v>
      </c>
      <c r="J28" s="6" t="s">
        <v>112</v>
      </c>
      <c r="K28" s="6" t="s">
        <v>113</v>
      </c>
    </row>
    <row r="29" customFormat="false" ht="15" hidden="false" customHeight="false" outlineLevel="0" collapsed="false">
      <c r="A29" s="7" t="s">
        <v>140</v>
      </c>
      <c r="C29" s="27" t="n">
        <f aca="false">(Inputs!$D$5*(1+Inputs!$C$35))</f>
        <v>1.2</v>
      </c>
      <c r="D29" s="28" t="n">
        <f aca="false">C29*(1+Inputs!$D$6)</f>
        <v>1.296</v>
      </c>
      <c r="E29" s="28" t="n">
        <f aca="false">D29*(1+Inputs!$D$6)</f>
        <v>1.39968</v>
      </c>
      <c r="F29" s="28" t="n">
        <f aca="false">E29*(1+Inputs!$D$6)</f>
        <v>1.5116544</v>
      </c>
      <c r="G29" s="28" t="n">
        <f aca="false">F29*(1+Inputs!$D$6)</f>
        <v>1.632586752</v>
      </c>
    </row>
    <row r="30" customFormat="false" ht="15" hidden="false" customHeight="false" outlineLevel="0" collapsed="false">
      <c r="A30" s="7" t="s">
        <v>141</v>
      </c>
      <c r="C30" s="29" t="n">
        <f aca="false">C29*Inputs!$C$12</f>
        <v>180</v>
      </c>
      <c r="D30" s="29" t="n">
        <f aca="false">D29*Inputs!$C$12</f>
        <v>194.4</v>
      </c>
      <c r="E30" s="29" t="n">
        <f aca="false">E29*Inputs!$C$12</f>
        <v>209.952</v>
      </c>
      <c r="F30" s="29" t="n">
        <f aca="false">F29*Inputs!$C$12</f>
        <v>226.74816</v>
      </c>
      <c r="G30" s="29" t="n">
        <f aca="false">G29*Inputs!$C$12</f>
        <v>244.8880128</v>
      </c>
    </row>
    <row r="31" customFormat="false" ht="15" hidden="false" customHeight="false" outlineLevel="0" collapsed="false">
      <c r="A31" s="7" t="s">
        <v>142</v>
      </c>
      <c r="C31" s="29" t="n">
        <f aca="false">-C30*Inputs!$C$13</f>
        <v>-27</v>
      </c>
      <c r="D31" s="29" t="n">
        <f aca="false">-D30*Inputs!$C$13</f>
        <v>-29.16</v>
      </c>
      <c r="E31" s="29" t="n">
        <f aca="false">-E30*Inputs!$C$13</f>
        <v>-31.4928</v>
      </c>
      <c r="F31" s="29" t="n">
        <f aca="false">-F30*Inputs!$C$13</f>
        <v>-34.012224</v>
      </c>
      <c r="G31" s="29" t="n">
        <f aca="false">-G30*Inputs!$C$13</f>
        <v>-36.73320192</v>
      </c>
    </row>
    <row r="32" customFormat="false" ht="15" hidden="false" customHeight="false" outlineLevel="0" collapsed="false">
      <c r="A32" s="7" t="s">
        <v>143</v>
      </c>
      <c r="C32" s="29" t="n">
        <f aca="false">C30+C31</f>
        <v>153</v>
      </c>
      <c r="D32" s="29" t="n">
        <f aca="false">D30+D31</f>
        <v>165.24</v>
      </c>
      <c r="E32" s="29" t="n">
        <f aca="false">E30+E31</f>
        <v>178.4592</v>
      </c>
      <c r="F32" s="29" t="n">
        <f aca="false">F30+F31</f>
        <v>192.735936</v>
      </c>
      <c r="G32" s="29" t="n">
        <f aca="false">G30+G31</f>
        <v>208.15481088</v>
      </c>
    </row>
    <row r="33" customFormat="false" ht="15" hidden="false" customHeight="false" outlineLevel="0" collapsed="false">
      <c r="A33" s="7" t="s">
        <v>144</v>
      </c>
      <c r="C33" s="30" t="n">
        <f aca="false">Inputs!$D$7</f>
        <v>150</v>
      </c>
      <c r="D33" s="31" t="n">
        <f aca="false">C33*(1+Inputs!$D$6)</f>
        <v>162</v>
      </c>
      <c r="E33" s="31" t="n">
        <f aca="false">D33*(1+Inputs!$D$6)</f>
        <v>174.96</v>
      </c>
      <c r="F33" s="31" t="n">
        <f aca="false">E33*(1+Inputs!$D$6)</f>
        <v>188.9568</v>
      </c>
      <c r="G33" s="31" t="n">
        <f aca="false">F33*(1+Inputs!$D$6)</f>
        <v>204.073344</v>
      </c>
    </row>
    <row r="34" customFormat="false" ht="15" hidden="false" customHeight="false" outlineLevel="0" collapsed="false">
      <c r="A34" s="7" t="s">
        <v>145</v>
      </c>
      <c r="C34" s="31" t="n">
        <f aca="false">C33*Inputs!$C$14*Inputs!$C$15</f>
        <v>3000</v>
      </c>
      <c r="D34" s="31" t="n">
        <f aca="false">D33*Inputs!$C$14*Inputs!$C$15</f>
        <v>3240</v>
      </c>
      <c r="E34" s="31" t="n">
        <f aca="false">E33*Inputs!$C$14*Inputs!$C$15</f>
        <v>3499.2</v>
      </c>
      <c r="F34" s="31" t="n">
        <f aca="false">F33*Inputs!$C$14*Inputs!$C$15</f>
        <v>3779.136</v>
      </c>
      <c r="G34" s="31" t="n">
        <f aca="false">G33*Inputs!$C$14*Inputs!$C$15</f>
        <v>4081.46688</v>
      </c>
    </row>
    <row r="35" customFormat="false" ht="15" hidden="false" customHeight="false" outlineLevel="0" collapsed="false">
      <c r="A35" s="7" t="s">
        <v>146</v>
      </c>
      <c r="C35" s="29" t="n">
        <f aca="false">C34*Inputs!$D$8/1000*Inputs!$C$16</f>
        <v>102</v>
      </c>
      <c r="D35" s="29" t="n">
        <f aca="false">D34*Inputs!$D$8/1000*Inputs!$C$16</f>
        <v>110.16</v>
      </c>
      <c r="E35" s="29" t="n">
        <f aca="false">E34*Inputs!$D$8/1000*Inputs!$C$16</f>
        <v>118.9728</v>
      </c>
      <c r="F35" s="29" t="n">
        <f aca="false">F34*Inputs!$D$8/1000*Inputs!$C$16</f>
        <v>128.490624</v>
      </c>
      <c r="G35" s="29" t="n">
        <f aca="false">G34*Inputs!$D$8/1000*Inputs!$C$16</f>
        <v>138.76987392</v>
      </c>
    </row>
    <row r="36" customFormat="false" ht="15" hidden="false" customHeight="false" outlineLevel="0" collapsed="false">
      <c r="A36" s="16" t="s">
        <v>147</v>
      </c>
      <c r="C36" s="32" t="n">
        <f aca="false">C32+C35</f>
        <v>255</v>
      </c>
      <c r="D36" s="32" t="n">
        <f aca="false">D32+D35</f>
        <v>275.4</v>
      </c>
      <c r="E36" s="32" t="n">
        <f aca="false">E32+E35</f>
        <v>297.432</v>
      </c>
      <c r="F36" s="32" t="n">
        <f aca="false">F32+F35</f>
        <v>321.22656</v>
      </c>
      <c r="G36" s="32" t="n">
        <f aca="false">G32+G35</f>
        <v>346.9246848</v>
      </c>
    </row>
    <row r="37" customFormat="false" ht="15" hidden="false" customHeight="false" outlineLevel="0" collapsed="false">
      <c r="A37" s="7" t="s">
        <v>148</v>
      </c>
      <c r="C37" s="29" t="n">
        <f aca="false">-C35*Inputs!$D$9</f>
        <v>-25.5</v>
      </c>
      <c r="D37" s="29" t="n">
        <f aca="false">-D35*Inputs!$D$9</f>
        <v>-27.54</v>
      </c>
      <c r="E37" s="29" t="n">
        <f aca="false">-E35*Inputs!$D$9</f>
        <v>-29.7432</v>
      </c>
      <c r="F37" s="29" t="n">
        <f aca="false">-F35*Inputs!$D$9</f>
        <v>-32.122656</v>
      </c>
      <c r="G37" s="29" t="n">
        <f aca="false">-G35*Inputs!$D$9</f>
        <v>-34.69246848</v>
      </c>
    </row>
    <row r="38" customFormat="false" ht="15" hidden="false" customHeight="false" outlineLevel="0" collapsed="false">
      <c r="A38" s="16" t="s">
        <v>149</v>
      </c>
      <c r="C38" s="32" t="n">
        <f aca="false">C36+C37</f>
        <v>229.5</v>
      </c>
      <c r="D38" s="32" t="n">
        <f aca="false">D36+D37</f>
        <v>247.86</v>
      </c>
      <c r="E38" s="32" t="n">
        <f aca="false">E36+E37</f>
        <v>267.6888</v>
      </c>
      <c r="F38" s="32" t="n">
        <f aca="false">F36+F37</f>
        <v>289.103904</v>
      </c>
      <c r="G38" s="32" t="n">
        <f aca="false">G36+G37</f>
        <v>312.23221632</v>
      </c>
    </row>
    <row r="39" customFormat="false" ht="15" hidden="false" customHeight="false" outlineLevel="0" collapsed="false">
      <c r="A39" s="7" t="s">
        <v>150</v>
      </c>
      <c r="C39" s="29" t="n">
        <f aca="false">-Inputs!$C$17*(1+Inputs!$C$18)^0</f>
        <v>-60</v>
      </c>
      <c r="D39" s="29" t="n">
        <f aca="false">-Inputs!$C$17*(1+Inputs!$C$18)^1</f>
        <v>-61.8</v>
      </c>
      <c r="E39" s="29" t="n">
        <f aca="false">-Inputs!$C$17*(1+Inputs!$C$18)^2</f>
        <v>-63.654</v>
      </c>
      <c r="F39" s="29" t="n">
        <f aca="false">-Inputs!$C$17*(1+Inputs!$C$18)^3</f>
        <v>-65.56362</v>
      </c>
      <c r="G39" s="29" t="n">
        <f aca="false">-Inputs!$C$17*(1+Inputs!$C$18)^4</f>
        <v>-67.5305286</v>
      </c>
    </row>
    <row r="40" customFormat="false" ht="15" hidden="false" customHeight="false" outlineLevel="0" collapsed="false">
      <c r="A40" s="7" t="s">
        <v>151</v>
      </c>
      <c r="C40" s="29" t="n">
        <f aca="false">-(C38*Inputs!$C$19+Inputs!$C$20)</f>
        <v>-68.36</v>
      </c>
      <c r="D40" s="29" t="n">
        <f aca="false">-(D38*Inputs!$C$19)</f>
        <v>-19.8288</v>
      </c>
      <c r="E40" s="29" t="n">
        <f aca="false">-(E38*Inputs!$C$19)</f>
        <v>-21.415104</v>
      </c>
      <c r="F40" s="29" t="n">
        <f aca="false">-(F38*Inputs!$C$19)</f>
        <v>-23.12831232</v>
      </c>
      <c r="G40" s="29" t="n">
        <f aca="false">-(G38*Inputs!$C$19)</f>
        <v>-24.9785773056</v>
      </c>
    </row>
    <row r="41" customFormat="false" ht="15" hidden="false" customHeight="false" outlineLevel="0" collapsed="false">
      <c r="A41" s="16" t="s">
        <v>152</v>
      </c>
      <c r="C41" s="32" t="n">
        <f aca="false">C38+C39+C40</f>
        <v>101.14</v>
      </c>
      <c r="D41" s="32" t="n">
        <f aca="false">D38+D39+D40</f>
        <v>166.2312</v>
      </c>
      <c r="E41" s="32" t="n">
        <f aca="false">E38+E39+E40</f>
        <v>182.619696</v>
      </c>
      <c r="F41" s="32" t="n">
        <f aca="false">F38+F39+F40</f>
        <v>200.41197168</v>
      </c>
      <c r="G41" s="32" t="n">
        <f aca="false">G38+G39+G40</f>
        <v>219.7231104144</v>
      </c>
    </row>
    <row r="42" customFormat="false" ht="15" hidden="false" customHeight="false" outlineLevel="0" collapsed="false">
      <c r="A42" s="7" t="s">
        <v>153</v>
      </c>
      <c r="C42" s="29" t="n">
        <f aca="false">-Inputs!$C$24*(1+Inputs!$C$25)^0</f>
        <v>-200</v>
      </c>
      <c r="D42" s="29" t="n">
        <f aca="false">-Inputs!$C$24*(1+Inputs!$C$25)^1</f>
        <v>-208</v>
      </c>
      <c r="E42" s="29" t="n">
        <f aca="false">-Inputs!$C$24*(1+Inputs!$C$25)^2</f>
        <v>-216.32</v>
      </c>
      <c r="F42" s="29" t="n">
        <f aca="false">-Inputs!$C$24*(1+Inputs!$C$25)^3</f>
        <v>-224.9728</v>
      </c>
      <c r="G42" s="29" t="n">
        <f aca="false">-Inputs!$C$24*(1+Inputs!$C$25)^4</f>
        <v>-233.971712</v>
      </c>
    </row>
    <row r="43" customFormat="false" ht="15" hidden="false" customHeight="false" outlineLevel="0" collapsed="false">
      <c r="A43" s="7" t="s">
        <v>154</v>
      </c>
      <c r="C43" s="29" t="n">
        <f aca="false">-MAX(Inputs!$C$26,Inputs!$C$27*C36)</f>
        <v>-102</v>
      </c>
      <c r="D43" s="29" t="n">
        <f aca="false">-MAX(Inputs!$C$26,Inputs!$C$27*D36)</f>
        <v>-110.16</v>
      </c>
      <c r="E43" s="29" t="n">
        <f aca="false">-MAX(Inputs!$C$26,Inputs!$C$27*E36)</f>
        <v>-118.9728</v>
      </c>
      <c r="F43" s="29" t="n">
        <f aca="false">-MAX(Inputs!$C$26,Inputs!$C$27*F36)</f>
        <v>-128.490624</v>
      </c>
      <c r="G43" s="29" t="n">
        <f aca="false">-MAX(Inputs!$C$26,Inputs!$C$27*G36)</f>
        <v>-138.76987392</v>
      </c>
    </row>
    <row r="44" customFormat="false" ht="15" hidden="false" customHeight="false" outlineLevel="0" collapsed="false">
      <c r="A44" s="7" t="s">
        <v>155</v>
      </c>
      <c r="C44" s="29" t="n">
        <f aca="false">-Inputs!$C$28*C36</f>
        <v>-153</v>
      </c>
      <c r="D44" s="29" t="n">
        <f aca="false">-Inputs!$C$28*D36</f>
        <v>-165.24</v>
      </c>
      <c r="E44" s="29" t="n">
        <f aca="false">-Inputs!$C$28*E36</f>
        <v>-178.4592</v>
      </c>
      <c r="F44" s="29" t="n">
        <f aca="false">-Inputs!$C$28*F36</f>
        <v>-192.735936</v>
      </c>
      <c r="G44" s="29" t="n">
        <f aca="false">-Inputs!$C$28*G36</f>
        <v>-208.15481088</v>
      </c>
    </row>
    <row r="45" customFormat="false" ht="15" hidden="false" customHeight="false" outlineLevel="0" collapsed="false">
      <c r="A45" s="16" t="s">
        <v>156</v>
      </c>
      <c r="B45" s="32" t="n">
        <f aca="false">-Inputs!$C$29</f>
        <v>-25</v>
      </c>
      <c r="C45" s="32" t="n">
        <f aca="false">C41+C42</f>
        <v>-98.86</v>
      </c>
      <c r="D45" s="32" t="n">
        <f aca="false">D41+D42</f>
        <v>-41.7688</v>
      </c>
      <c r="E45" s="32" t="n">
        <f aca="false">E41+E42</f>
        <v>-33.700304</v>
      </c>
      <c r="F45" s="32" t="n">
        <f aca="false">F41+F42</f>
        <v>-24.56082832</v>
      </c>
      <c r="G45" s="32" t="n">
        <f aca="false">G41+G42</f>
        <v>-14.2486015856001</v>
      </c>
      <c r="I45" s="18" t="n">
        <f aca="false">B45+NPV(Inputs!$C$21,C45:G45)</f>
        <v>-200.334570650043</v>
      </c>
      <c r="J45" s="15" t="str">
        <f aca="false">IFERROR(IRR(B45:G45),"n/a")</f>
        <v>n/a</v>
      </c>
      <c r="K45" s="7" t="str">
        <f aca="false">IF(COUNTIF(C48:G48,"&lt;0")&gt;=5,"Beyond Y5","Year "&amp;(COUNTIF(C48:G48,"&lt;0")+1))</f>
        <v>Beyond Y5</v>
      </c>
    </row>
    <row r="46" customFormat="false" ht="15" hidden="false" customHeight="false" outlineLevel="0" collapsed="false">
      <c r="A46" s="16" t="s">
        <v>157</v>
      </c>
      <c r="B46" s="32" t="n">
        <f aca="false">-Inputs!$C$29</f>
        <v>-25</v>
      </c>
      <c r="C46" s="32" t="n">
        <f aca="false">C41+C43</f>
        <v>-0.859999999999999</v>
      </c>
      <c r="D46" s="32" t="n">
        <f aca="false">D41+D43</f>
        <v>56.0712</v>
      </c>
      <c r="E46" s="32" t="n">
        <f aca="false">E41+E43</f>
        <v>63.646896</v>
      </c>
      <c r="F46" s="32" t="n">
        <f aca="false">F41+F43</f>
        <v>71.92134768</v>
      </c>
      <c r="G46" s="32" t="n">
        <f aca="false">G41+G43</f>
        <v>80.9532364944</v>
      </c>
      <c r="I46" s="18" t="n">
        <f aca="false">B46+NPV(Inputs!$C$21,C46:G46)</f>
        <v>167.765710428622</v>
      </c>
      <c r="J46" s="15" t="n">
        <f aca="false">IFERROR(IRR(B46:G46),"n/a")</f>
        <v>1.09577469173367</v>
      </c>
      <c r="K46" s="7" t="str">
        <f aca="false">IF(COUNTIF(C49:G49,"&lt;0")&gt;=5,"Beyond Y5","Year "&amp;(COUNTIF(C49:G49,"&lt;0")+1))</f>
        <v>Year 2</v>
      </c>
    </row>
    <row r="47" customFormat="false" ht="15" hidden="false" customHeight="false" outlineLevel="0" collapsed="false">
      <c r="A47" s="16" t="s">
        <v>158</v>
      </c>
      <c r="B47" s="32" t="n">
        <f aca="false">-Inputs!$C$29</f>
        <v>-25</v>
      </c>
      <c r="C47" s="32" t="n">
        <f aca="false">C41+C44</f>
        <v>-51.86</v>
      </c>
      <c r="D47" s="32" t="n">
        <f aca="false">D41+D44</f>
        <v>0.991199999999992</v>
      </c>
      <c r="E47" s="32" t="n">
        <f aca="false">E41+E44</f>
        <v>4.160496</v>
      </c>
      <c r="F47" s="32" t="n">
        <f aca="false">F41+F44</f>
        <v>7.67603567999998</v>
      </c>
      <c r="G47" s="32" t="n">
        <f aca="false">G41+G44</f>
        <v>11.5682995344</v>
      </c>
      <c r="I47" s="18" t="n">
        <f aca="false">B47+NPV(Inputs!$C$21,C47:G47)</f>
        <v>-55.7745992620971</v>
      </c>
      <c r="J47" s="15" t="n">
        <f aca="false">IFERROR(IRR(B47:G47),"n/a")</f>
        <v>-3.06396595932419</v>
      </c>
      <c r="K47" s="7" t="str">
        <f aca="false">IF(COUNTIF(C50:G50,"&lt;0")&gt;=5,"Beyond Y5","Year "&amp;(COUNTIF(C50:G50,"&lt;0")+1))</f>
        <v>Beyond Y5</v>
      </c>
    </row>
    <row r="48" customFormat="false" ht="15" hidden="false" customHeight="false" outlineLevel="0" collapsed="false">
      <c r="A48" s="7" t="s">
        <v>159</v>
      </c>
      <c r="C48" s="29" t="n">
        <f aca="false">B45+C45</f>
        <v>-123.86</v>
      </c>
      <c r="D48" s="29" t="n">
        <f aca="false">C48+D45</f>
        <v>-165.6288</v>
      </c>
      <c r="E48" s="29" t="n">
        <f aca="false">D48+E45</f>
        <v>-199.329104</v>
      </c>
      <c r="F48" s="29" t="n">
        <f aca="false">E48+F45</f>
        <v>-223.88993232</v>
      </c>
      <c r="G48" s="29" t="n">
        <f aca="false">F48+G45</f>
        <v>-238.1385339056</v>
      </c>
    </row>
    <row r="49" customFormat="false" ht="15" hidden="false" customHeight="false" outlineLevel="0" collapsed="false">
      <c r="A49" s="7" t="s">
        <v>160</v>
      </c>
      <c r="C49" s="29" t="n">
        <f aca="false">B46+C46</f>
        <v>-25.86</v>
      </c>
      <c r="D49" s="29" t="n">
        <f aca="false">C49+D46</f>
        <v>30.2112</v>
      </c>
      <c r="E49" s="29" t="n">
        <f aca="false">D49+E46</f>
        <v>93.858096</v>
      </c>
      <c r="F49" s="29" t="n">
        <f aca="false">E49+F46</f>
        <v>165.77944368</v>
      </c>
      <c r="G49" s="29" t="n">
        <f aca="false">F49+G46</f>
        <v>246.7326801744</v>
      </c>
    </row>
    <row r="50" customFormat="false" ht="15" hidden="false" customHeight="false" outlineLevel="0" collapsed="false">
      <c r="A50" s="7" t="s">
        <v>161</v>
      </c>
      <c r="C50" s="29" t="n">
        <f aca="false">B47+C47</f>
        <v>-76.86</v>
      </c>
      <c r="D50" s="29" t="n">
        <f aca="false">C50+D47</f>
        <v>-75.8688</v>
      </c>
      <c r="E50" s="29" t="n">
        <f aca="false">D50+E47</f>
        <v>-71.708304</v>
      </c>
      <c r="F50" s="29" t="n">
        <f aca="false">E50+F47</f>
        <v>-64.03226832</v>
      </c>
      <c r="G50" s="29" t="n">
        <f aca="false">F50+G47</f>
        <v>-52.4639687856</v>
      </c>
    </row>
    <row r="53" customFormat="false" ht="15" hidden="false" customHeight="false" outlineLevel="0" collapsed="false">
      <c r="A53" s="6" t="s">
        <v>167</v>
      </c>
      <c r="B53" s="6" t="s">
        <v>134</v>
      </c>
      <c r="C53" s="6" t="s">
        <v>135</v>
      </c>
      <c r="D53" s="6" t="s">
        <v>136</v>
      </c>
      <c r="E53" s="6" t="s">
        <v>137</v>
      </c>
      <c r="F53" s="6" t="s">
        <v>138</v>
      </c>
      <c r="G53" s="6" t="s">
        <v>139</v>
      </c>
      <c r="H53" s="13"/>
      <c r="I53" s="6" t="s">
        <v>106</v>
      </c>
      <c r="J53" s="6" t="s">
        <v>112</v>
      </c>
      <c r="K53" s="6" t="s">
        <v>113</v>
      </c>
    </row>
    <row r="54" customFormat="false" ht="15" hidden="false" customHeight="false" outlineLevel="0" collapsed="false">
      <c r="A54" s="7" t="s">
        <v>140</v>
      </c>
      <c r="C54" s="27" t="n">
        <f aca="false">Inputs!$D$5</f>
        <v>1</v>
      </c>
      <c r="D54" s="28" t="n">
        <f aca="false">C54*(1+(Inputs!$D$6*(1-Inputs!$C$35)))</f>
        <v>1.064</v>
      </c>
      <c r="E54" s="28" t="n">
        <f aca="false">D54*(1+(Inputs!$D$6*(1-Inputs!$C$35)))</f>
        <v>1.132096</v>
      </c>
      <c r="F54" s="28" t="n">
        <f aca="false">E54*(1+(Inputs!$D$6*(1-Inputs!$C$35)))</f>
        <v>1.204550144</v>
      </c>
      <c r="G54" s="28" t="n">
        <f aca="false">F54*(1+(Inputs!$D$6*(1-Inputs!$C$35)))</f>
        <v>1.281641353216</v>
      </c>
    </row>
    <row r="55" customFormat="false" ht="15" hidden="false" customHeight="false" outlineLevel="0" collapsed="false">
      <c r="A55" s="7" t="s">
        <v>141</v>
      </c>
      <c r="C55" s="29" t="n">
        <f aca="false">C54*Inputs!$C$12</f>
        <v>150</v>
      </c>
      <c r="D55" s="29" t="n">
        <f aca="false">D54*Inputs!$C$12</f>
        <v>159.6</v>
      </c>
      <c r="E55" s="29" t="n">
        <f aca="false">E54*Inputs!$C$12</f>
        <v>169.8144</v>
      </c>
      <c r="F55" s="29" t="n">
        <f aca="false">F54*Inputs!$C$12</f>
        <v>180.6825216</v>
      </c>
      <c r="G55" s="29" t="n">
        <f aca="false">G54*Inputs!$C$12</f>
        <v>192.2462029824</v>
      </c>
    </row>
    <row r="56" customFormat="false" ht="15" hidden="false" customHeight="false" outlineLevel="0" collapsed="false">
      <c r="A56" s="7" t="s">
        <v>142</v>
      </c>
      <c r="C56" s="29" t="n">
        <f aca="false">-C55*Inputs!$C$13</f>
        <v>-22.5</v>
      </c>
      <c r="D56" s="29" t="n">
        <f aca="false">-D55*Inputs!$C$13</f>
        <v>-23.94</v>
      </c>
      <c r="E56" s="29" t="n">
        <f aca="false">-E55*Inputs!$C$13</f>
        <v>-25.47216</v>
      </c>
      <c r="F56" s="29" t="n">
        <f aca="false">-F55*Inputs!$C$13</f>
        <v>-27.10237824</v>
      </c>
      <c r="G56" s="29" t="n">
        <f aca="false">-G55*Inputs!$C$13</f>
        <v>-28.83693044736</v>
      </c>
    </row>
    <row r="57" customFormat="false" ht="15" hidden="false" customHeight="false" outlineLevel="0" collapsed="false">
      <c r="A57" s="7" t="s">
        <v>143</v>
      </c>
      <c r="C57" s="29" t="n">
        <f aca="false">C55+C56</f>
        <v>127.5</v>
      </c>
      <c r="D57" s="29" t="n">
        <f aca="false">D55+D56</f>
        <v>135.66</v>
      </c>
      <c r="E57" s="29" t="n">
        <f aca="false">E55+E56</f>
        <v>144.34224</v>
      </c>
      <c r="F57" s="29" t="n">
        <f aca="false">F55+F56</f>
        <v>153.58014336</v>
      </c>
      <c r="G57" s="29" t="n">
        <f aca="false">G55+G56</f>
        <v>163.40927253504</v>
      </c>
    </row>
    <row r="58" customFormat="false" ht="15" hidden="false" customHeight="false" outlineLevel="0" collapsed="false">
      <c r="A58" s="7" t="s">
        <v>144</v>
      </c>
      <c r="C58" s="30" t="n">
        <f aca="false">Inputs!$D$7</f>
        <v>150</v>
      </c>
      <c r="D58" s="31" t="n">
        <f aca="false">C58*(1+(Inputs!$D$6*(1-Inputs!$C$35)))</f>
        <v>159.6</v>
      </c>
      <c r="E58" s="31" t="n">
        <f aca="false">D58*(1+(Inputs!$D$6*(1-Inputs!$C$35)))</f>
        <v>169.8144</v>
      </c>
      <c r="F58" s="31" t="n">
        <f aca="false">E58*(1+(Inputs!$D$6*(1-Inputs!$C$35)))</f>
        <v>180.6825216</v>
      </c>
      <c r="G58" s="31" t="n">
        <f aca="false">F58*(1+(Inputs!$D$6*(1-Inputs!$C$35)))</f>
        <v>192.2462029824</v>
      </c>
    </row>
    <row r="59" customFormat="false" ht="15" hidden="false" customHeight="false" outlineLevel="0" collapsed="false">
      <c r="A59" s="7" t="s">
        <v>145</v>
      </c>
      <c r="C59" s="31" t="n">
        <f aca="false">C58*Inputs!$C$14*Inputs!$C$15</f>
        <v>3000</v>
      </c>
      <c r="D59" s="31" t="n">
        <f aca="false">D58*Inputs!$C$14*Inputs!$C$15</f>
        <v>3192</v>
      </c>
      <c r="E59" s="31" t="n">
        <f aca="false">E58*Inputs!$C$14*Inputs!$C$15</f>
        <v>3396.288</v>
      </c>
      <c r="F59" s="31" t="n">
        <f aca="false">F58*Inputs!$C$14*Inputs!$C$15</f>
        <v>3613.650432</v>
      </c>
      <c r="G59" s="31" t="n">
        <f aca="false">G58*Inputs!$C$14*Inputs!$C$15</f>
        <v>3844.924059648</v>
      </c>
    </row>
    <row r="60" customFormat="false" ht="15" hidden="false" customHeight="false" outlineLevel="0" collapsed="false">
      <c r="A60" s="7" t="s">
        <v>146</v>
      </c>
      <c r="C60" s="29" t="n">
        <f aca="false">C59*Inputs!$D$8/1000*Inputs!$C$16</f>
        <v>102</v>
      </c>
      <c r="D60" s="29" t="n">
        <f aca="false">D59*Inputs!$D$8/1000*Inputs!$C$16</f>
        <v>108.528</v>
      </c>
      <c r="E60" s="29" t="n">
        <f aca="false">E59*Inputs!$D$8/1000*Inputs!$C$16</f>
        <v>115.473792</v>
      </c>
      <c r="F60" s="29" t="n">
        <f aca="false">F59*Inputs!$D$8/1000*Inputs!$C$16</f>
        <v>122.864114688</v>
      </c>
      <c r="G60" s="29" t="n">
        <f aca="false">G59*Inputs!$D$8/1000*Inputs!$C$16</f>
        <v>130.727418028032</v>
      </c>
    </row>
    <row r="61" customFormat="false" ht="15" hidden="false" customHeight="false" outlineLevel="0" collapsed="false">
      <c r="A61" s="16" t="s">
        <v>147</v>
      </c>
      <c r="C61" s="32" t="n">
        <f aca="false">C57+C60</f>
        <v>229.5</v>
      </c>
      <c r="D61" s="32" t="n">
        <f aca="false">D57+D60</f>
        <v>244.188</v>
      </c>
      <c r="E61" s="32" t="n">
        <f aca="false">E57+E60</f>
        <v>259.816032</v>
      </c>
      <c r="F61" s="32" t="n">
        <f aca="false">F57+F60</f>
        <v>276.444258048</v>
      </c>
      <c r="G61" s="32" t="n">
        <f aca="false">G57+G60</f>
        <v>294.136690563072</v>
      </c>
    </row>
    <row r="62" customFormat="false" ht="15" hidden="false" customHeight="false" outlineLevel="0" collapsed="false">
      <c r="A62" s="7" t="s">
        <v>148</v>
      </c>
      <c r="C62" s="29" t="n">
        <f aca="false">-C60*Inputs!$D$9</f>
        <v>-25.5</v>
      </c>
      <c r="D62" s="29" t="n">
        <f aca="false">-D60*Inputs!$D$9</f>
        <v>-27.132</v>
      </c>
      <c r="E62" s="29" t="n">
        <f aca="false">-E60*Inputs!$D$9</f>
        <v>-28.868448</v>
      </c>
      <c r="F62" s="29" t="n">
        <f aca="false">-F60*Inputs!$D$9</f>
        <v>-30.716028672</v>
      </c>
      <c r="G62" s="29" t="n">
        <f aca="false">-G60*Inputs!$D$9</f>
        <v>-32.681854507008</v>
      </c>
    </row>
    <row r="63" customFormat="false" ht="15" hidden="false" customHeight="false" outlineLevel="0" collapsed="false">
      <c r="A63" s="16" t="s">
        <v>149</v>
      </c>
      <c r="C63" s="32" t="n">
        <f aca="false">C61+C62</f>
        <v>204</v>
      </c>
      <c r="D63" s="32" t="n">
        <f aca="false">D61+D62</f>
        <v>217.056</v>
      </c>
      <c r="E63" s="32" t="n">
        <f aca="false">E61+E62</f>
        <v>230.947584</v>
      </c>
      <c r="F63" s="32" t="n">
        <f aca="false">F61+F62</f>
        <v>245.728229376</v>
      </c>
      <c r="G63" s="32" t="n">
        <f aca="false">G61+G62</f>
        <v>261.454836056064</v>
      </c>
    </row>
    <row r="64" customFormat="false" ht="15" hidden="false" customHeight="false" outlineLevel="0" collapsed="false">
      <c r="A64" s="7" t="s">
        <v>150</v>
      </c>
      <c r="C64" s="29" t="n">
        <f aca="false">-Inputs!$C$17*(1+Inputs!$C$18)^0</f>
        <v>-60</v>
      </c>
      <c r="D64" s="29" t="n">
        <f aca="false">-Inputs!$C$17*(1+Inputs!$C$18)^1</f>
        <v>-61.8</v>
      </c>
      <c r="E64" s="29" t="n">
        <f aca="false">-Inputs!$C$17*(1+Inputs!$C$18)^2</f>
        <v>-63.654</v>
      </c>
      <c r="F64" s="29" t="n">
        <f aca="false">-Inputs!$C$17*(1+Inputs!$C$18)^3</f>
        <v>-65.56362</v>
      </c>
      <c r="G64" s="29" t="n">
        <f aca="false">-Inputs!$C$17*(1+Inputs!$C$18)^4</f>
        <v>-67.5305286</v>
      </c>
    </row>
    <row r="65" customFormat="false" ht="15" hidden="false" customHeight="false" outlineLevel="0" collapsed="false">
      <c r="A65" s="7" t="s">
        <v>151</v>
      </c>
      <c r="C65" s="29" t="n">
        <f aca="false">-(C63*Inputs!$C$19+Inputs!$C$20)</f>
        <v>-66.32</v>
      </c>
      <c r="D65" s="29" t="n">
        <f aca="false">-(D63*Inputs!$C$19)</f>
        <v>-17.36448</v>
      </c>
      <c r="E65" s="29" t="n">
        <f aca="false">-(E63*Inputs!$C$19)</f>
        <v>-18.47580672</v>
      </c>
      <c r="F65" s="29" t="n">
        <f aca="false">-(F63*Inputs!$C$19)</f>
        <v>-19.65825835008</v>
      </c>
      <c r="G65" s="29" t="n">
        <f aca="false">-(G63*Inputs!$C$19)</f>
        <v>-20.9163868844851</v>
      </c>
    </row>
    <row r="66" customFormat="false" ht="15" hidden="false" customHeight="false" outlineLevel="0" collapsed="false">
      <c r="A66" s="16" t="s">
        <v>152</v>
      </c>
      <c r="C66" s="32" t="n">
        <f aca="false">C63+C64+C65</f>
        <v>77.68</v>
      </c>
      <c r="D66" s="32" t="n">
        <f aca="false">D63+D64+D65</f>
        <v>137.89152</v>
      </c>
      <c r="E66" s="32" t="n">
        <f aca="false">E63+E64+E65</f>
        <v>148.81777728</v>
      </c>
      <c r="F66" s="32" t="n">
        <f aca="false">F63+F64+F65</f>
        <v>160.50635102592</v>
      </c>
      <c r="G66" s="32" t="n">
        <f aca="false">G63+G64+G65</f>
        <v>173.007920571579</v>
      </c>
    </row>
    <row r="67" customFormat="false" ht="15" hidden="false" customHeight="false" outlineLevel="0" collapsed="false">
      <c r="A67" s="7" t="s">
        <v>153</v>
      </c>
      <c r="C67" s="29" t="n">
        <f aca="false">-Inputs!$C$24*(1+Inputs!$C$25)^0</f>
        <v>-200</v>
      </c>
      <c r="D67" s="29" t="n">
        <f aca="false">-Inputs!$C$24*(1+Inputs!$C$25)^1</f>
        <v>-208</v>
      </c>
      <c r="E67" s="29" t="n">
        <f aca="false">-Inputs!$C$24*(1+Inputs!$C$25)^2</f>
        <v>-216.32</v>
      </c>
      <c r="F67" s="29" t="n">
        <f aca="false">-Inputs!$C$24*(1+Inputs!$C$25)^3</f>
        <v>-224.9728</v>
      </c>
      <c r="G67" s="29" t="n">
        <f aca="false">-Inputs!$C$24*(1+Inputs!$C$25)^4</f>
        <v>-233.971712</v>
      </c>
    </row>
    <row r="68" customFormat="false" ht="15" hidden="false" customHeight="false" outlineLevel="0" collapsed="false">
      <c r="A68" s="7" t="s">
        <v>154</v>
      </c>
      <c r="C68" s="29" t="n">
        <f aca="false">-MAX(Inputs!$C$26,Inputs!$C$27*C61)</f>
        <v>-100</v>
      </c>
      <c r="D68" s="29" t="n">
        <f aca="false">-MAX(Inputs!$C$26,Inputs!$C$27*D61)</f>
        <v>-100</v>
      </c>
      <c r="E68" s="29" t="n">
        <f aca="false">-MAX(Inputs!$C$26,Inputs!$C$27*E61)</f>
        <v>-103.9264128</v>
      </c>
      <c r="F68" s="29" t="n">
        <f aca="false">-MAX(Inputs!$C$26,Inputs!$C$27*F61)</f>
        <v>-110.5777032192</v>
      </c>
      <c r="G68" s="29" t="n">
        <f aca="false">-MAX(Inputs!$C$26,Inputs!$C$27*G61)</f>
        <v>-117.654676225229</v>
      </c>
    </row>
    <row r="69" customFormat="false" ht="15" hidden="false" customHeight="false" outlineLevel="0" collapsed="false">
      <c r="A69" s="7" t="s">
        <v>155</v>
      </c>
      <c r="C69" s="29" t="n">
        <f aca="false">-Inputs!$C$28*C61</f>
        <v>-137.7</v>
      </c>
      <c r="D69" s="29" t="n">
        <f aca="false">-Inputs!$C$28*D61</f>
        <v>-146.5128</v>
      </c>
      <c r="E69" s="29" t="n">
        <f aca="false">-Inputs!$C$28*E61</f>
        <v>-155.8896192</v>
      </c>
      <c r="F69" s="29" t="n">
        <f aca="false">-Inputs!$C$28*F61</f>
        <v>-165.8665548288</v>
      </c>
      <c r="G69" s="29" t="n">
        <f aca="false">-Inputs!$C$28*G61</f>
        <v>-176.482014337843</v>
      </c>
    </row>
    <row r="70" customFormat="false" ht="15" hidden="false" customHeight="false" outlineLevel="0" collapsed="false">
      <c r="A70" s="16" t="s">
        <v>156</v>
      </c>
      <c r="B70" s="32" t="n">
        <f aca="false">-Inputs!$C$29</f>
        <v>-25</v>
      </c>
      <c r="C70" s="32" t="n">
        <f aca="false">C66+C67</f>
        <v>-122.32</v>
      </c>
      <c r="D70" s="32" t="n">
        <f aca="false">D66+D67</f>
        <v>-70.10848</v>
      </c>
      <c r="E70" s="32" t="n">
        <f aca="false">E66+E67</f>
        <v>-67.50222272</v>
      </c>
      <c r="F70" s="32" t="n">
        <f aca="false">F66+F67</f>
        <v>-64.4664489740799</v>
      </c>
      <c r="G70" s="32" t="n">
        <f aca="false">G66+G67</f>
        <v>-60.9637914284211</v>
      </c>
      <c r="I70" s="18" t="n">
        <f aca="false">B70+NPV(Inputs!$C$21,C70:G70)</f>
        <v>-326.741481686614</v>
      </c>
      <c r="J70" s="15" t="str">
        <f aca="false">IFERROR(IRR(B70:G70),"n/a")</f>
        <v>n/a</v>
      </c>
      <c r="K70" s="7" t="str">
        <f aca="false">IF(COUNTIF(C73:G73,"&lt;0")&gt;=5,"Beyond Y5","Year "&amp;(COUNTIF(C73:G73,"&lt;0")+1))</f>
        <v>Beyond Y5</v>
      </c>
    </row>
    <row r="71" customFormat="false" ht="15" hidden="false" customHeight="false" outlineLevel="0" collapsed="false">
      <c r="A71" s="16" t="s">
        <v>157</v>
      </c>
      <c r="B71" s="32" t="n">
        <f aca="false">-Inputs!$C$29</f>
        <v>-25</v>
      </c>
      <c r="C71" s="32" t="n">
        <f aca="false">C66+C68</f>
        <v>-22.32</v>
      </c>
      <c r="D71" s="32" t="n">
        <f aca="false">D66+D68</f>
        <v>37.89152</v>
      </c>
      <c r="E71" s="32" t="n">
        <f aca="false">E66+E68</f>
        <v>44.89136448</v>
      </c>
      <c r="F71" s="32" t="n">
        <f aca="false">F66+F68</f>
        <v>49.92864780672</v>
      </c>
      <c r="G71" s="32" t="n">
        <f aca="false">G66+G68</f>
        <v>55.3532443463501</v>
      </c>
      <c r="I71" s="18" t="n">
        <f aca="false">B71+NPV(Inputs!$C$21,C71:G71)</f>
        <v>88.2238912360322</v>
      </c>
      <c r="J71" s="15" t="n">
        <f aca="false">IFERROR(IRR(B71:G71),"n/a")</f>
        <v>0.595605233398846</v>
      </c>
      <c r="K71" s="7" t="str">
        <f aca="false">IF(COUNTIF(C74:G74,"&lt;0")&gt;=5,"Beyond Y5","Year "&amp;(COUNTIF(C74:G74,"&lt;0")+1))</f>
        <v>Year 3</v>
      </c>
    </row>
    <row r="72" customFormat="false" ht="15" hidden="false" customHeight="false" outlineLevel="0" collapsed="false">
      <c r="A72" s="16" t="s">
        <v>158</v>
      </c>
      <c r="B72" s="32" t="n">
        <f aca="false">-Inputs!$C$29</f>
        <v>-25</v>
      </c>
      <c r="C72" s="32" t="n">
        <f aca="false">C66+C69</f>
        <v>-60.02</v>
      </c>
      <c r="D72" s="32" t="n">
        <f aca="false">D66+D69</f>
        <v>-8.62128000000001</v>
      </c>
      <c r="E72" s="32" t="n">
        <f aca="false">E66+E69</f>
        <v>-7.07184191999997</v>
      </c>
      <c r="F72" s="32" t="n">
        <f aca="false">F66+F69</f>
        <v>-5.36020380287997</v>
      </c>
      <c r="G72" s="32" t="n">
        <f aca="false">G66+G69</f>
        <v>-3.4740937662643</v>
      </c>
      <c r="I72" s="18" t="n">
        <f aca="false">B72+NPV(Inputs!$C$21,C72:G72)</f>
        <v>-97.8200708798034</v>
      </c>
      <c r="J72" s="15" t="str">
        <f aca="false">IFERROR(IRR(B72:G72),"n/a")</f>
        <v>n/a</v>
      </c>
      <c r="K72" s="7" t="str">
        <f aca="false">IF(COUNTIF(C75:G75,"&lt;0")&gt;=5,"Beyond Y5","Year "&amp;(COUNTIF(C75:G75,"&lt;0")+1))</f>
        <v>Beyond Y5</v>
      </c>
    </row>
    <row r="73" customFormat="false" ht="15" hidden="false" customHeight="false" outlineLevel="0" collapsed="false">
      <c r="A73" s="7" t="s">
        <v>159</v>
      </c>
      <c r="C73" s="29" t="n">
        <f aca="false">B70+C70</f>
        <v>-147.32</v>
      </c>
      <c r="D73" s="29" t="n">
        <f aca="false">C73+D70</f>
        <v>-217.42848</v>
      </c>
      <c r="E73" s="29" t="n">
        <f aca="false">D73+E70</f>
        <v>-284.93070272</v>
      </c>
      <c r="F73" s="29" t="n">
        <f aca="false">E73+F70</f>
        <v>-349.39715169408</v>
      </c>
      <c r="G73" s="29" t="n">
        <f aca="false">F73+G70</f>
        <v>-410.360943122501</v>
      </c>
    </row>
    <row r="74" customFormat="false" ht="15" hidden="false" customHeight="false" outlineLevel="0" collapsed="false">
      <c r="A74" s="7" t="s">
        <v>160</v>
      </c>
      <c r="C74" s="29" t="n">
        <f aca="false">B71+C71</f>
        <v>-47.32</v>
      </c>
      <c r="D74" s="29" t="n">
        <f aca="false">C74+D71</f>
        <v>-9.42847999999998</v>
      </c>
      <c r="E74" s="29" t="n">
        <f aca="false">D74+E71</f>
        <v>35.46288448</v>
      </c>
      <c r="F74" s="29" t="n">
        <f aca="false">E74+F71</f>
        <v>85.3915322867201</v>
      </c>
      <c r="G74" s="29" t="n">
        <f aca="false">F74+G71</f>
        <v>140.74477663307</v>
      </c>
    </row>
    <row r="75" customFormat="false" ht="15" hidden="false" customHeight="false" outlineLevel="0" collapsed="false">
      <c r="A75" s="7" t="s">
        <v>161</v>
      </c>
      <c r="C75" s="29" t="n">
        <f aca="false">B72+C72</f>
        <v>-85.02</v>
      </c>
      <c r="D75" s="29" t="n">
        <f aca="false">C75+D72</f>
        <v>-93.64128</v>
      </c>
      <c r="E75" s="29" t="n">
        <f aca="false">D75+E72</f>
        <v>-100.71312192</v>
      </c>
      <c r="F75" s="29" t="n">
        <f aca="false">E75+F72</f>
        <v>-106.07332572288</v>
      </c>
      <c r="G75" s="29" t="n">
        <f aca="false">F75+G72</f>
        <v>-109.547419489144</v>
      </c>
    </row>
    <row r="78" customFormat="false" ht="15" hidden="false" customHeight="false" outlineLevel="0" collapsed="false">
      <c r="A78" s="6" t="s">
        <v>168</v>
      </c>
      <c r="B78" s="6" t="s">
        <v>134</v>
      </c>
      <c r="C78" s="6" t="s">
        <v>135</v>
      </c>
      <c r="D78" s="6" t="s">
        <v>136</v>
      </c>
      <c r="E78" s="6" t="s">
        <v>137</v>
      </c>
      <c r="F78" s="6" t="s">
        <v>138</v>
      </c>
      <c r="G78" s="6" t="s">
        <v>139</v>
      </c>
      <c r="H78" s="13"/>
      <c r="I78" s="6" t="s">
        <v>106</v>
      </c>
      <c r="J78" s="6" t="s">
        <v>112</v>
      </c>
      <c r="K78" s="6" t="s">
        <v>113</v>
      </c>
    </row>
    <row r="79" customFormat="false" ht="15" hidden="false" customHeight="false" outlineLevel="0" collapsed="false">
      <c r="A79" s="7" t="s">
        <v>140</v>
      </c>
      <c r="C79" s="27" t="n">
        <f aca="false">Inputs!$D$5</f>
        <v>1</v>
      </c>
      <c r="D79" s="28" t="n">
        <f aca="false">C79*(1+(Inputs!$D$6*(1+Inputs!$C$35)))</f>
        <v>1.096</v>
      </c>
      <c r="E79" s="28" t="n">
        <f aca="false">D79*(1+(Inputs!$D$6*(1+Inputs!$C$35)))</f>
        <v>1.201216</v>
      </c>
      <c r="F79" s="28" t="n">
        <f aca="false">E79*(1+(Inputs!$D$6*(1+Inputs!$C$35)))</f>
        <v>1.316532736</v>
      </c>
      <c r="G79" s="28" t="n">
        <f aca="false">F79*(1+(Inputs!$D$6*(1+Inputs!$C$35)))</f>
        <v>1.442919878656</v>
      </c>
    </row>
    <row r="80" customFormat="false" ht="15" hidden="false" customHeight="false" outlineLevel="0" collapsed="false">
      <c r="A80" s="7" t="s">
        <v>141</v>
      </c>
      <c r="C80" s="29" t="n">
        <f aca="false">C79*Inputs!$C$12</f>
        <v>150</v>
      </c>
      <c r="D80" s="29" t="n">
        <f aca="false">D79*Inputs!$C$12</f>
        <v>164.4</v>
      </c>
      <c r="E80" s="29" t="n">
        <f aca="false">E79*Inputs!$C$12</f>
        <v>180.1824</v>
      </c>
      <c r="F80" s="29" t="n">
        <f aca="false">F79*Inputs!$C$12</f>
        <v>197.4799104</v>
      </c>
      <c r="G80" s="29" t="n">
        <f aca="false">G79*Inputs!$C$12</f>
        <v>216.4379817984</v>
      </c>
    </row>
    <row r="81" customFormat="false" ht="15" hidden="false" customHeight="false" outlineLevel="0" collapsed="false">
      <c r="A81" s="7" t="s">
        <v>142</v>
      </c>
      <c r="C81" s="29" t="n">
        <f aca="false">-C80*Inputs!$C$13</f>
        <v>-22.5</v>
      </c>
      <c r="D81" s="29" t="n">
        <f aca="false">-D80*Inputs!$C$13</f>
        <v>-24.66</v>
      </c>
      <c r="E81" s="29" t="n">
        <f aca="false">-E80*Inputs!$C$13</f>
        <v>-27.02736</v>
      </c>
      <c r="F81" s="29" t="n">
        <f aca="false">-F80*Inputs!$C$13</f>
        <v>-29.62198656</v>
      </c>
      <c r="G81" s="29" t="n">
        <f aca="false">-G80*Inputs!$C$13</f>
        <v>-32.46569726976</v>
      </c>
    </row>
    <row r="82" customFormat="false" ht="15" hidden="false" customHeight="false" outlineLevel="0" collapsed="false">
      <c r="A82" s="7" t="s">
        <v>143</v>
      </c>
      <c r="C82" s="29" t="n">
        <f aca="false">C80+C81</f>
        <v>127.5</v>
      </c>
      <c r="D82" s="29" t="n">
        <f aca="false">D80+D81</f>
        <v>139.74</v>
      </c>
      <c r="E82" s="29" t="n">
        <f aca="false">E80+E81</f>
        <v>153.15504</v>
      </c>
      <c r="F82" s="29" t="n">
        <f aca="false">F80+F81</f>
        <v>167.85792384</v>
      </c>
      <c r="G82" s="29" t="n">
        <f aca="false">G80+G81</f>
        <v>183.97228452864</v>
      </c>
    </row>
    <row r="83" customFormat="false" ht="15" hidden="false" customHeight="false" outlineLevel="0" collapsed="false">
      <c r="A83" s="7" t="s">
        <v>144</v>
      </c>
      <c r="C83" s="30" t="n">
        <f aca="false">Inputs!$D$7</f>
        <v>150</v>
      </c>
      <c r="D83" s="31" t="n">
        <f aca="false">C83*(1+(Inputs!$D$6*(1+Inputs!$C$35)))</f>
        <v>164.4</v>
      </c>
      <c r="E83" s="31" t="n">
        <f aca="false">D83*(1+(Inputs!$D$6*(1+Inputs!$C$35)))</f>
        <v>180.1824</v>
      </c>
      <c r="F83" s="31" t="n">
        <f aca="false">E83*(1+(Inputs!$D$6*(1+Inputs!$C$35)))</f>
        <v>197.4799104</v>
      </c>
      <c r="G83" s="31" t="n">
        <f aca="false">F83*(1+(Inputs!$D$6*(1+Inputs!$C$35)))</f>
        <v>216.4379817984</v>
      </c>
    </row>
    <row r="84" customFormat="false" ht="15" hidden="false" customHeight="false" outlineLevel="0" collapsed="false">
      <c r="A84" s="7" t="s">
        <v>145</v>
      </c>
      <c r="C84" s="31" t="n">
        <f aca="false">C83*Inputs!$C$14*Inputs!$C$15</f>
        <v>3000</v>
      </c>
      <c r="D84" s="31" t="n">
        <f aca="false">D83*Inputs!$C$14*Inputs!$C$15</f>
        <v>3288</v>
      </c>
      <c r="E84" s="31" t="n">
        <f aca="false">E83*Inputs!$C$14*Inputs!$C$15</f>
        <v>3603.648</v>
      </c>
      <c r="F84" s="31" t="n">
        <f aca="false">F83*Inputs!$C$14*Inputs!$C$15</f>
        <v>3949.598208</v>
      </c>
      <c r="G84" s="31" t="n">
        <f aca="false">G83*Inputs!$C$14*Inputs!$C$15</f>
        <v>4328.759635968</v>
      </c>
    </row>
    <row r="85" customFormat="false" ht="15" hidden="false" customHeight="false" outlineLevel="0" collapsed="false">
      <c r="A85" s="7" t="s">
        <v>146</v>
      </c>
      <c r="C85" s="29" t="n">
        <f aca="false">C84*Inputs!$D$8/1000*Inputs!$C$16</f>
        <v>102</v>
      </c>
      <c r="D85" s="29" t="n">
        <f aca="false">D84*Inputs!$D$8/1000*Inputs!$C$16</f>
        <v>111.792</v>
      </c>
      <c r="E85" s="29" t="n">
        <f aca="false">E84*Inputs!$D$8/1000*Inputs!$C$16</f>
        <v>122.524032</v>
      </c>
      <c r="F85" s="29" t="n">
        <f aca="false">F84*Inputs!$D$8/1000*Inputs!$C$16</f>
        <v>134.286339072</v>
      </c>
      <c r="G85" s="29" t="n">
        <f aca="false">G84*Inputs!$D$8/1000*Inputs!$C$16</f>
        <v>147.177827622912</v>
      </c>
    </row>
    <row r="86" customFormat="false" ht="15" hidden="false" customHeight="false" outlineLevel="0" collapsed="false">
      <c r="A86" s="16" t="s">
        <v>147</v>
      </c>
      <c r="C86" s="32" t="n">
        <f aca="false">C82+C85</f>
        <v>229.5</v>
      </c>
      <c r="D86" s="32" t="n">
        <f aca="false">D82+D85</f>
        <v>251.532</v>
      </c>
      <c r="E86" s="32" t="n">
        <f aca="false">E82+E85</f>
        <v>275.679072</v>
      </c>
      <c r="F86" s="32" t="n">
        <f aca="false">F82+F85</f>
        <v>302.144262912</v>
      </c>
      <c r="G86" s="32" t="n">
        <f aca="false">G82+G85</f>
        <v>331.150112151552</v>
      </c>
    </row>
    <row r="87" customFormat="false" ht="15" hidden="false" customHeight="false" outlineLevel="0" collapsed="false">
      <c r="A87" s="7" t="s">
        <v>148</v>
      </c>
      <c r="C87" s="29" t="n">
        <f aca="false">-C85*Inputs!$D$9</f>
        <v>-25.5</v>
      </c>
      <c r="D87" s="29" t="n">
        <f aca="false">-D85*Inputs!$D$9</f>
        <v>-27.948</v>
      </c>
      <c r="E87" s="29" t="n">
        <f aca="false">-E85*Inputs!$D$9</f>
        <v>-30.631008</v>
      </c>
      <c r="F87" s="29" t="n">
        <f aca="false">-F85*Inputs!$D$9</f>
        <v>-33.571584768</v>
      </c>
      <c r="G87" s="29" t="n">
        <f aca="false">-G85*Inputs!$D$9</f>
        <v>-36.794456905728</v>
      </c>
    </row>
    <row r="88" customFormat="false" ht="15" hidden="false" customHeight="false" outlineLevel="0" collapsed="false">
      <c r="A88" s="16" t="s">
        <v>149</v>
      </c>
      <c r="C88" s="32" t="n">
        <f aca="false">C86+C87</f>
        <v>204</v>
      </c>
      <c r="D88" s="32" t="n">
        <f aca="false">D86+D87</f>
        <v>223.584</v>
      </c>
      <c r="E88" s="32" t="n">
        <f aca="false">E86+E87</f>
        <v>245.048064</v>
      </c>
      <c r="F88" s="32" t="n">
        <f aca="false">F86+F87</f>
        <v>268.572678144</v>
      </c>
      <c r="G88" s="32" t="n">
        <f aca="false">G86+G87</f>
        <v>294.355655245824</v>
      </c>
    </row>
    <row r="89" customFormat="false" ht="15" hidden="false" customHeight="false" outlineLevel="0" collapsed="false">
      <c r="A89" s="7" t="s">
        <v>150</v>
      </c>
      <c r="C89" s="29" t="n">
        <f aca="false">-Inputs!$C$17*(1+Inputs!$C$18)^0</f>
        <v>-60</v>
      </c>
      <c r="D89" s="29" t="n">
        <f aca="false">-Inputs!$C$17*(1+Inputs!$C$18)^1</f>
        <v>-61.8</v>
      </c>
      <c r="E89" s="29" t="n">
        <f aca="false">-Inputs!$C$17*(1+Inputs!$C$18)^2</f>
        <v>-63.654</v>
      </c>
      <c r="F89" s="29" t="n">
        <f aca="false">-Inputs!$C$17*(1+Inputs!$C$18)^3</f>
        <v>-65.56362</v>
      </c>
      <c r="G89" s="29" t="n">
        <f aca="false">-Inputs!$C$17*(1+Inputs!$C$18)^4</f>
        <v>-67.5305286</v>
      </c>
    </row>
    <row r="90" customFormat="false" ht="15" hidden="false" customHeight="false" outlineLevel="0" collapsed="false">
      <c r="A90" s="7" t="s">
        <v>151</v>
      </c>
      <c r="C90" s="29" t="n">
        <f aca="false">-(C88*Inputs!$C$19+Inputs!$C$20)</f>
        <v>-66.32</v>
      </c>
      <c r="D90" s="29" t="n">
        <f aca="false">-(D88*Inputs!$C$19)</f>
        <v>-17.88672</v>
      </c>
      <c r="E90" s="29" t="n">
        <f aca="false">-(E88*Inputs!$C$19)</f>
        <v>-19.60384512</v>
      </c>
      <c r="F90" s="29" t="n">
        <f aca="false">-(F88*Inputs!$C$19)</f>
        <v>-21.48581425152</v>
      </c>
      <c r="G90" s="29" t="n">
        <f aca="false">-(G88*Inputs!$C$19)</f>
        <v>-23.5484524196659</v>
      </c>
    </row>
    <row r="91" customFormat="false" ht="15" hidden="false" customHeight="false" outlineLevel="0" collapsed="false">
      <c r="A91" s="16" t="s">
        <v>152</v>
      </c>
      <c r="C91" s="32" t="n">
        <f aca="false">C88+C89+C90</f>
        <v>77.68</v>
      </c>
      <c r="D91" s="32" t="n">
        <f aca="false">D88+D89+D90</f>
        <v>143.89728</v>
      </c>
      <c r="E91" s="32" t="n">
        <f aca="false">E88+E89+E90</f>
        <v>161.79021888</v>
      </c>
      <c r="F91" s="32" t="n">
        <f aca="false">F88+F89+F90</f>
        <v>181.52324389248</v>
      </c>
      <c r="G91" s="32" t="n">
        <f aca="false">G88+G89+G90</f>
        <v>203.276674226158</v>
      </c>
    </row>
    <row r="92" customFormat="false" ht="15" hidden="false" customHeight="false" outlineLevel="0" collapsed="false">
      <c r="A92" s="7" t="s">
        <v>153</v>
      </c>
      <c r="C92" s="29" t="n">
        <f aca="false">-Inputs!$C$24*(1+Inputs!$C$25)^0</f>
        <v>-200</v>
      </c>
      <c r="D92" s="29" t="n">
        <f aca="false">-Inputs!$C$24*(1+Inputs!$C$25)^1</f>
        <v>-208</v>
      </c>
      <c r="E92" s="29" t="n">
        <f aca="false">-Inputs!$C$24*(1+Inputs!$C$25)^2</f>
        <v>-216.32</v>
      </c>
      <c r="F92" s="29" t="n">
        <f aca="false">-Inputs!$C$24*(1+Inputs!$C$25)^3</f>
        <v>-224.9728</v>
      </c>
      <c r="G92" s="29" t="n">
        <f aca="false">-Inputs!$C$24*(1+Inputs!$C$25)^4</f>
        <v>-233.971712</v>
      </c>
    </row>
    <row r="93" customFormat="false" ht="15" hidden="false" customHeight="false" outlineLevel="0" collapsed="false">
      <c r="A93" s="7" t="s">
        <v>154</v>
      </c>
      <c r="C93" s="29" t="n">
        <f aca="false">-MAX(Inputs!$C$26,Inputs!$C$27*C86)</f>
        <v>-100</v>
      </c>
      <c r="D93" s="29" t="n">
        <f aca="false">-MAX(Inputs!$C$26,Inputs!$C$27*D86)</f>
        <v>-100.6128</v>
      </c>
      <c r="E93" s="29" t="n">
        <f aca="false">-MAX(Inputs!$C$26,Inputs!$C$27*E86)</f>
        <v>-110.2716288</v>
      </c>
      <c r="F93" s="29" t="n">
        <f aca="false">-MAX(Inputs!$C$26,Inputs!$C$27*F86)</f>
        <v>-120.8577051648</v>
      </c>
      <c r="G93" s="29" t="n">
        <f aca="false">-MAX(Inputs!$C$26,Inputs!$C$27*G86)</f>
        <v>-132.460044860621</v>
      </c>
    </row>
    <row r="94" customFormat="false" ht="15" hidden="false" customHeight="false" outlineLevel="0" collapsed="false">
      <c r="A94" s="7" t="s">
        <v>155</v>
      </c>
      <c r="C94" s="29" t="n">
        <f aca="false">-Inputs!$C$28*C86</f>
        <v>-137.7</v>
      </c>
      <c r="D94" s="29" t="n">
        <f aca="false">-Inputs!$C$28*D86</f>
        <v>-150.9192</v>
      </c>
      <c r="E94" s="29" t="n">
        <f aca="false">-Inputs!$C$28*E86</f>
        <v>-165.4074432</v>
      </c>
      <c r="F94" s="29" t="n">
        <f aca="false">-Inputs!$C$28*F86</f>
        <v>-181.2865577472</v>
      </c>
      <c r="G94" s="29" t="n">
        <f aca="false">-Inputs!$C$28*G86</f>
        <v>-198.690067290931</v>
      </c>
    </row>
    <row r="95" customFormat="false" ht="15" hidden="false" customHeight="false" outlineLevel="0" collapsed="false">
      <c r="A95" s="16" t="s">
        <v>156</v>
      </c>
      <c r="B95" s="32" t="n">
        <f aca="false">-Inputs!$C$29</f>
        <v>-25</v>
      </c>
      <c r="C95" s="32" t="n">
        <f aca="false">C91+C92</f>
        <v>-122.32</v>
      </c>
      <c r="D95" s="32" t="n">
        <f aca="false">D91+D92</f>
        <v>-64.10272</v>
      </c>
      <c r="E95" s="32" t="n">
        <f aca="false">E91+E92</f>
        <v>-54.52978112</v>
      </c>
      <c r="F95" s="32" t="n">
        <f aca="false">F91+F92</f>
        <v>-43.44955610752</v>
      </c>
      <c r="G95" s="32" t="n">
        <f aca="false">G91+G92</f>
        <v>-30.6950377738419</v>
      </c>
      <c r="I95" s="18" t="n">
        <f aca="false">B95+NPV(Inputs!$C$21,C95:G95)</f>
        <v>-278.882321107794</v>
      </c>
      <c r="J95" s="15" t="str">
        <f aca="false">IFERROR(IRR(B95:G95),"n/a")</f>
        <v>n/a</v>
      </c>
      <c r="K95" s="7" t="str">
        <f aca="false">IF(COUNTIF(C98:G98,"&lt;0")&gt;=5,"Beyond Y5","Year "&amp;(COUNTIF(C98:G98,"&lt;0")+1))</f>
        <v>Beyond Y5</v>
      </c>
    </row>
    <row r="96" customFormat="false" ht="15" hidden="false" customHeight="false" outlineLevel="0" collapsed="false">
      <c r="A96" s="16" t="s">
        <v>157</v>
      </c>
      <c r="B96" s="32" t="n">
        <f aca="false">-Inputs!$C$29</f>
        <v>-25</v>
      </c>
      <c r="C96" s="32" t="n">
        <f aca="false">C91+C93</f>
        <v>-22.32</v>
      </c>
      <c r="D96" s="32" t="n">
        <f aca="false">D91+D93</f>
        <v>43.28448</v>
      </c>
      <c r="E96" s="32" t="n">
        <f aca="false">E91+E93</f>
        <v>51.51859008</v>
      </c>
      <c r="F96" s="32" t="n">
        <f aca="false">F91+F93</f>
        <v>60.66553872768</v>
      </c>
      <c r="G96" s="32" t="n">
        <f aca="false">G91+G93</f>
        <v>70.8166293655373</v>
      </c>
      <c r="I96" s="18" t="n">
        <f aca="false">B96+NPV(Inputs!$C$21,C96:G96)</f>
        <v>114.595002106653</v>
      </c>
      <c r="J96" s="15" t="n">
        <f aca="false">IFERROR(IRR(B96:G96),"n/a")</f>
        <v>0.693170622280931</v>
      </c>
      <c r="K96" s="7" t="str">
        <f aca="false">IF(COUNTIF(C99:G99,"&lt;0")&gt;=5,"Beyond Y5","Year "&amp;(COUNTIF(C99:G99,"&lt;0")+1))</f>
        <v>Year 3</v>
      </c>
    </row>
    <row r="97" customFormat="false" ht="15" hidden="false" customHeight="false" outlineLevel="0" collapsed="false">
      <c r="A97" s="16" t="s">
        <v>158</v>
      </c>
      <c r="B97" s="32" t="n">
        <f aca="false">-Inputs!$C$29</f>
        <v>-25</v>
      </c>
      <c r="C97" s="32" t="n">
        <f aca="false">C91+C94</f>
        <v>-60.02</v>
      </c>
      <c r="D97" s="32" t="n">
        <f aca="false">D91+D94</f>
        <v>-7.02191999999999</v>
      </c>
      <c r="E97" s="32" t="n">
        <f aca="false">E91+E94</f>
        <v>-3.61722432000002</v>
      </c>
      <c r="F97" s="32" t="n">
        <f aca="false">F91+F94</f>
        <v>0.236686145280004</v>
      </c>
      <c r="G97" s="32" t="n">
        <f aca="false">G91+G94</f>
        <v>4.58660693522691</v>
      </c>
      <c r="I97" s="18" t="n">
        <f aca="false">B97+NPV(Inputs!$C$21,C97:G97)</f>
        <v>-85.0749683343569</v>
      </c>
      <c r="J97" s="15" t="str">
        <f aca="false">IFERROR(IRR(B97:G97),"n/a")</f>
        <v>n/a</v>
      </c>
      <c r="K97" s="7" t="str">
        <f aca="false">IF(COUNTIF(C100:G100,"&lt;0")&gt;=5,"Beyond Y5","Year "&amp;(COUNTIF(C100:G100,"&lt;0")+1))</f>
        <v>Beyond Y5</v>
      </c>
    </row>
    <row r="98" customFormat="false" ht="15" hidden="false" customHeight="false" outlineLevel="0" collapsed="false">
      <c r="A98" s="7" t="s">
        <v>159</v>
      </c>
      <c r="C98" s="29" t="n">
        <f aca="false">B95+C95</f>
        <v>-147.32</v>
      </c>
      <c r="D98" s="29" t="n">
        <f aca="false">C98+D95</f>
        <v>-211.42272</v>
      </c>
      <c r="E98" s="29" t="n">
        <f aca="false">D98+E95</f>
        <v>-265.95250112</v>
      </c>
      <c r="F98" s="29" t="n">
        <f aca="false">E98+F95</f>
        <v>-309.40205722752</v>
      </c>
      <c r="G98" s="29" t="n">
        <f aca="false">F98+G95</f>
        <v>-340.097095001362</v>
      </c>
    </row>
    <row r="99" customFormat="false" ht="15" hidden="false" customHeight="false" outlineLevel="0" collapsed="false">
      <c r="A99" s="7" t="s">
        <v>160</v>
      </c>
      <c r="C99" s="29" t="n">
        <f aca="false">B96+C96</f>
        <v>-47.32</v>
      </c>
      <c r="D99" s="29" t="n">
        <f aca="false">C99+D96</f>
        <v>-4.03552000000001</v>
      </c>
      <c r="E99" s="29" t="n">
        <f aca="false">D99+E96</f>
        <v>47.48307008</v>
      </c>
      <c r="F99" s="29" t="n">
        <f aca="false">E99+F96</f>
        <v>108.14860880768</v>
      </c>
      <c r="G99" s="29" t="n">
        <f aca="false">F99+G96</f>
        <v>178.965238173217</v>
      </c>
    </row>
    <row r="100" customFormat="false" ht="15" hidden="false" customHeight="false" outlineLevel="0" collapsed="false">
      <c r="A100" s="7" t="s">
        <v>161</v>
      </c>
      <c r="C100" s="29" t="n">
        <f aca="false">B97+C97</f>
        <v>-85.02</v>
      </c>
      <c r="D100" s="29" t="n">
        <f aca="false">C100+D97</f>
        <v>-92.04192</v>
      </c>
      <c r="E100" s="29" t="n">
        <f aca="false">D100+E97</f>
        <v>-95.65914432</v>
      </c>
      <c r="F100" s="29" t="n">
        <f aca="false">E100+F97</f>
        <v>-95.42245817472</v>
      </c>
      <c r="G100" s="29" t="n">
        <f aca="false">F100+G97</f>
        <v>-90.8358512394931</v>
      </c>
    </row>
    <row r="103" customFormat="false" ht="15" hidden="false" customHeight="false" outlineLevel="0" collapsed="false">
      <c r="A103" s="6" t="s">
        <v>169</v>
      </c>
      <c r="B103" s="6" t="s">
        <v>134</v>
      </c>
      <c r="C103" s="6" t="s">
        <v>135</v>
      </c>
      <c r="D103" s="6" t="s">
        <v>136</v>
      </c>
      <c r="E103" s="6" t="s">
        <v>137</v>
      </c>
      <c r="F103" s="6" t="s">
        <v>138</v>
      </c>
      <c r="G103" s="6" t="s">
        <v>139</v>
      </c>
      <c r="H103" s="13"/>
      <c r="I103" s="6" t="s">
        <v>106</v>
      </c>
      <c r="J103" s="6" t="s">
        <v>112</v>
      </c>
      <c r="K103" s="6" t="s">
        <v>113</v>
      </c>
    </row>
    <row r="104" customFormat="false" ht="15" hidden="false" customHeight="false" outlineLevel="0" collapsed="false">
      <c r="A104" s="7" t="s">
        <v>140</v>
      </c>
      <c r="C104" s="27" t="n">
        <f aca="false">Inputs!$D$5</f>
        <v>1</v>
      </c>
      <c r="D104" s="28" t="n">
        <f aca="false">C104*(1+Inputs!$D$6)</f>
        <v>1.08</v>
      </c>
      <c r="E104" s="28" t="n">
        <f aca="false">D104*(1+Inputs!$D$6)</f>
        <v>1.1664</v>
      </c>
      <c r="F104" s="28" t="n">
        <f aca="false">E104*(1+Inputs!$D$6)</f>
        <v>1.259712</v>
      </c>
      <c r="G104" s="28" t="n">
        <f aca="false">F104*(1+Inputs!$D$6)</f>
        <v>1.36048896</v>
      </c>
    </row>
    <row r="105" customFormat="false" ht="15" hidden="false" customHeight="false" outlineLevel="0" collapsed="false">
      <c r="A105" s="7" t="s">
        <v>141</v>
      </c>
      <c r="C105" s="29" t="n">
        <f aca="false">C104*Inputs!$C$12</f>
        <v>150</v>
      </c>
      <c r="D105" s="29" t="n">
        <f aca="false">D104*Inputs!$C$12</f>
        <v>162</v>
      </c>
      <c r="E105" s="29" t="n">
        <f aca="false">E104*Inputs!$C$12</f>
        <v>174.96</v>
      </c>
      <c r="F105" s="29" t="n">
        <f aca="false">F104*Inputs!$C$12</f>
        <v>188.9568</v>
      </c>
      <c r="G105" s="29" t="n">
        <f aca="false">G104*Inputs!$C$12</f>
        <v>204.073344</v>
      </c>
    </row>
    <row r="106" customFormat="false" ht="15" hidden="false" customHeight="false" outlineLevel="0" collapsed="false">
      <c r="A106" s="7" t="s">
        <v>142</v>
      </c>
      <c r="C106" s="29" t="n">
        <f aca="false">-C105*Inputs!$C$13</f>
        <v>-22.5</v>
      </c>
      <c r="D106" s="29" t="n">
        <f aca="false">-D105*Inputs!$C$13</f>
        <v>-24.3</v>
      </c>
      <c r="E106" s="29" t="n">
        <f aca="false">-E105*Inputs!$C$13</f>
        <v>-26.244</v>
      </c>
      <c r="F106" s="29" t="n">
        <f aca="false">-F105*Inputs!$C$13</f>
        <v>-28.34352</v>
      </c>
      <c r="G106" s="29" t="n">
        <f aca="false">-G105*Inputs!$C$13</f>
        <v>-30.6110016</v>
      </c>
    </row>
    <row r="107" customFormat="false" ht="15" hidden="false" customHeight="false" outlineLevel="0" collapsed="false">
      <c r="A107" s="7" t="s">
        <v>143</v>
      </c>
      <c r="C107" s="29" t="n">
        <f aca="false">C105+C106</f>
        <v>127.5</v>
      </c>
      <c r="D107" s="29" t="n">
        <f aca="false">D105+D106</f>
        <v>137.7</v>
      </c>
      <c r="E107" s="29" t="n">
        <f aca="false">E105+E106</f>
        <v>148.716</v>
      </c>
      <c r="F107" s="29" t="n">
        <f aca="false">F105+F106</f>
        <v>160.61328</v>
      </c>
      <c r="G107" s="29" t="n">
        <f aca="false">G105+G106</f>
        <v>173.4623424</v>
      </c>
    </row>
    <row r="108" customFormat="false" ht="15" hidden="false" customHeight="false" outlineLevel="0" collapsed="false">
      <c r="A108" s="7" t="s">
        <v>144</v>
      </c>
      <c r="C108" s="30" t="n">
        <f aca="false">(Inputs!$D$7*(1-Inputs!$C$35))</f>
        <v>120</v>
      </c>
      <c r="D108" s="31" t="n">
        <f aca="false">C108*(1+Inputs!$D$6)</f>
        <v>129.6</v>
      </c>
      <c r="E108" s="31" t="n">
        <f aca="false">D108*(1+Inputs!$D$6)</f>
        <v>139.968</v>
      </c>
      <c r="F108" s="31" t="n">
        <f aca="false">E108*(1+Inputs!$D$6)</f>
        <v>151.16544</v>
      </c>
      <c r="G108" s="31" t="n">
        <f aca="false">F108*(1+Inputs!$D$6)</f>
        <v>163.2586752</v>
      </c>
    </row>
    <row r="109" customFormat="false" ht="15" hidden="false" customHeight="false" outlineLevel="0" collapsed="false">
      <c r="A109" s="7" t="s">
        <v>145</v>
      </c>
      <c r="C109" s="31" t="n">
        <f aca="false">C108*Inputs!$C$14*Inputs!$C$15</f>
        <v>2400</v>
      </c>
      <c r="D109" s="31" t="n">
        <f aca="false">D108*Inputs!$C$14*Inputs!$C$15</f>
        <v>2592</v>
      </c>
      <c r="E109" s="31" t="n">
        <f aca="false">E108*Inputs!$C$14*Inputs!$C$15</f>
        <v>2799.36</v>
      </c>
      <c r="F109" s="31" t="n">
        <f aca="false">F108*Inputs!$C$14*Inputs!$C$15</f>
        <v>3023.3088</v>
      </c>
      <c r="G109" s="31" t="n">
        <f aca="false">G108*Inputs!$C$14*Inputs!$C$15</f>
        <v>3265.173504</v>
      </c>
    </row>
    <row r="110" customFormat="false" ht="15" hidden="false" customHeight="false" outlineLevel="0" collapsed="false">
      <c r="A110" s="7" t="s">
        <v>146</v>
      </c>
      <c r="C110" s="29" t="n">
        <f aca="false">C109*Inputs!$D$8/1000*Inputs!$C$16</f>
        <v>81.6</v>
      </c>
      <c r="D110" s="29" t="n">
        <f aca="false">D109*Inputs!$D$8/1000*Inputs!$C$16</f>
        <v>88.128</v>
      </c>
      <c r="E110" s="29" t="n">
        <f aca="false">E109*Inputs!$D$8/1000*Inputs!$C$16</f>
        <v>95.17824</v>
      </c>
      <c r="F110" s="29" t="n">
        <f aca="false">F109*Inputs!$D$8/1000*Inputs!$C$16</f>
        <v>102.7924992</v>
      </c>
      <c r="G110" s="29" t="n">
        <f aca="false">G109*Inputs!$D$8/1000*Inputs!$C$16</f>
        <v>111.015899136</v>
      </c>
    </row>
    <row r="111" customFormat="false" ht="15" hidden="false" customHeight="false" outlineLevel="0" collapsed="false">
      <c r="A111" s="16" t="s">
        <v>147</v>
      </c>
      <c r="C111" s="32" t="n">
        <f aca="false">C107+C110</f>
        <v>209.1</v>
      </c>
      <c r="D111" s="32" t="n">
        <f aca="false">D107+D110</f>
        <v>225.828</v>
      </c>
      <c r="E111" s="32" t="n">
        <f aca="false">E107+E110</f>
        <v>243.89424</v>
      </c>
      <c r="F111" s="32" t="n">
        <f aca="false">F107+F110</f>
        <v>263.4057792</v>
      </c>
      <c r="G111" s="32" t="n">
        <f aca="false">G107+G110</f>
        <v>284.478241536</v>
      </c>
    </row>
    <row r="112" customFormat="false" ht="15" hidden="false" customHeight="false" outlineLevel="0" collapsed="false">
      <c r="A112" s="7" t="s">
        <v>148</v>
      </c>
      <c r="C112" s="29" t="n">
        <f aca="false">-C110*Inputs!$D$9</f>
        <v>-20.4</v>
      </c>
      <c r="D112" s="29" t="n">
        <f aca="false">-D110*Inputs!$D$9</f>
        <v>-22.032</v>
      </c>
      <c r="E112" s="29" t="n">
        <f aca="false">-E110*Inputs!$D$9</f>
        <v>-23.79456</v>
      </c>
      <c r="F112" s="29" t="n">
        <f aca="false">-F110*Inputs!$D$9</f>
        <v>-25.6981248</v>
      </c>
      <c r="G112" s="29" t="n">
        <f aca="false">-G110*Inputs!$D$9</f>
        <v>-27.753974784</v>
      </c>
    </row>
    <row r="113" customFormat="false" ht="15" hidden="false" customHeight="false" outlineLevel="0" collapsed="false">
      <c r="A113" s="16" t="s">
        <v>149</v>
      </c>
      <c r="C113" s="32" t="n">
        <f aca="false">C111+C112</f>
        <v>188.7</v>
      </c>
      <c r="D113" s="32" t="n">
        <f aca="false">D111+D112</f>
        <v>203.796</v>
      </c>
      <c r="E113" s="32" t="n">
        <f aca="false">E111+E112</f>
        <v>220.09968</v>
      </c>
      <c r="F113" s="32" t="n">
        <f aca="false">F111+F112</f>
        <v>237.7076544</v>
      </c>
      <c r="G113" s="32" t="n">
        <f aca="false">G111+G112</f>
        <v>256.724266752</v>
      </c>
    </row>
    <row r="114" customFormat="false" ht="15" hidden="false" customHeight="false" outlineLevel="0" collapsed="false">
      <c r="A114" s="7" t="s">
        <v>150</v>
      </c>
      <c r="C114" s="29" t="n">
        <f aca="false">-Inputs!$C$17*(1+Inputs!$C$18)^0</f>
        <v>-60</v>
      </c>
      <c r="D114" s="29" t="n">
        <f aca="false">-Inputs!$C$17*(1+Inputs!$C$18)^1</f>
        <v>-61.8</v>
      </c>
      <c r="E114" s="29" t="n">
        <f aca="false">-Inputs!$C$17*(1+Inputs!$C$18)^2</f>
        <v>-63.654</v>
      </c>
      <c r="F114" s="29" t="n">
        <f aca="false">-Inputs!$C$17*(1+Inputs!$C$18)^3</f>
        <v>-65.56362</v>
      </c>
      <c r="G114" s="29" t="n">
        <f aca="false">-Inputs!$C$17*(1+Inputs!$C$18)^4</f>
        <v>-67.5305286</v>
      </c>
    </row>
    <row r="115" customFormat="false" ht="15" hidden="false" customHeight="false" outlineLevel="0" collapsed="false">
      <c r="A115" s="7" t="s">
        <v>151</v>
      </c>
      <c r="C115" s="29" t="n">
        <f aca="false">-(C113*Inputs!$C$19+Inputs!$C$20)</f>
        <v>-65.096</v>
      </c>
      <c r="D115" s="29" t="n">
        <f aca="false">-(D113*Inputs!$C$19)</f>
        <v>-16.30368</v>
      </c>
      <c r="E115" s="29" t="n">
        <f aca="false">-(E113*Inputs!$C$19)</f>
        <v>-17.6079744</v>
      </c>
      <c r="F115" s="29" t="n">
        <f aca="false">-(F113*Inputs!$C$19)</f>
        <v>-19.016612352</v>
      </c>
      <c r="G115" s="29" t="n">
        <f aca="false">-(G113*Inputs!$C$19)</f>
        <v>-20.53794134016</v>
      </c>
    </row>
    <row r="116" customFormat="false" ht="15" hidden="false" customHeight="false" outlineLevel="0" collapsed="false">
      <c r="A116" s="16" t="s">
        <v>152</v>
      </c>
      <c r="C116" s="32" t="n">
        <f aca="false">C113+C114+C115</f>
        <v>63.604</v>
      </c>
      <c r="D116" s="32" t="n">
        <f aca="false">D113+D114+D115</f>
        <v>125.69232</v>
      </c>
      <c r="E116" s="32" t="n">
        <f aca="false">E113+E114+E115</f>
        <v>138.8377056</v>
      </c>
      <c r="F116" s="32" t="n">
        <f aca="false">F113+F114+F115</f>
        <v>153.127422048</v>
      </c>
      <c r="G116" s="32" t="n">
        <f aca="false">G113+G114+G115</f>
        <v>168.65579681184</v>
      </c>
    </row>
    <row r="117" customFormat="false" ht="15" hidden="false" customHeight="false" outlineLevel="0" collapsed="false">
      <c r="A117" s="7" t="s">
        <v>153</v>
      </c>
      <c r="C117" s="29" t="n">
        <f aca="false">-Inputs!$C$24*(1+Inputs!$C$25)^0</f>
        <v>-200</v>
      </c>
      <c r="D117" s="29" t="n">
        <f aca="false">-Inputs!$C$24*(1+Inputs!$C$25)^1</f>
        <v>-208</v>
      </c>
      <c r="E117" s="29" t="n">
        <f aca="false">-Inputs!$C$24*(1+Inputs!$C$25)^2</f>
        <v>-216.32</v>
      </c>
      <c r="F117" s="29" t="n">
        <f aca="false">-Inputs!$C$24*(1+Inputs!$C$25)^3</f>
        <v>-224.9728</v>
      </c>
      <c r="G117" s="29" t="n">
        <f aca="false">-Inputs!$C$24*(1+Inputs!$C$25)^4</f>
        <v>-233.971712</v>
      </c>
    </row>
    <row r="118" customFormat="false" ht="15" hidden="false" customHeight="false" outlineLevel="0" collapsed="false">
      <c r="A118" s="7" t="s">
        <v>154</v>
      </c>
      <c r="C118" s="29" t="n">
        <f aca="false">-MAX(Inputs!$C$26,Inputs!$C$27*C111)</f>
        <v>-100</v>
      </c>
      <c r="D118" s="29" t="n">
        <f aca="false">-MAX(Inputs!$C$26,Inputs!$C$27*D111)</f>
        <v>-100</v>
      </c>
      <c r="E118" s="29" t="n">
        <f aca="false">-MAX(Inputs!$C$26,Inputs!$C$27*E111)</f>
        <v>-100</v>
      </c>
      <c r="F118" s="29" t="n">
        <f aca="false">-MAX(Inputs!$C$26,Inputs!$C$27*F111)</f>
        <v>-105.36231168</v>
      </c>
      <c r="G118" s="29" t="n">
        <f aca="false">-MAX(Inputs!$C$26,Inputs!$C$27*G111)</f>
        <v>-113.7912966144</v>
      </c>
    </row>
    <row r="119" customFormat="false" ht="15" hidden="false" customHeight="false" outlineLevel="0" collapsed="false">
      <c r="A119" s="7" t="s">
        <v>155</v>
      </c>
      <c r="C119" s="29" t="n">
        <f aca="false">-Inputs!$C$28*C111</f>
        <v>-125.46</v>
      </c>
      <c r="D119" s="29" t="n">
        <f aca="false">-Inputs!$C$28*D111</f>
        <v>-135.4968</v>
      </c>
      <c r="E119" s="29" t="n">
        <f aca="false">-Inputs!$C$28*E111</f>
        <v>-146.336544</v>
      </c>
      <c r="F119" s="29" t="n">
        <f aca="false">-Inputs!$C$28*F111</f>
        <v>-158.04346752</v>
      </c>
      <c r="G119" s="29" t="n">
        <f aca="false">-Inputs!$C$28*G111</f>
        <v>-170.6869449216</v>
      </c>
    </row>
    <row r="120" customFormat="false" ht="15" hidden="false" customHeight="false" outlineLevel="0" collapsed="false">
      <c r="A120" s="16" t="s">
        <v>156</v>
      </c>
      <c r="B120" s="32" t="n">
        <f aca="false">-Inputs!$C$29</f>
        <v>-25</v>
      </c>
      <c r="C120" s="32" t="n">
        <f aca="false">C116+C117</f>
        <v>-136.396</v>
      </c>
      <c r="D120" s="32" t="n">
        <f aca="false">D116+D117</f>
        <v>-82.30768</v>
      </c>
      <c r="E120" s="32" t="n">
        <f aca="false">E116+E117</f>
        <v>-77.4822944</v>
      </c>
      <c r="F120" s="32" t="n">
        <f aca="false">F116+F117</f>
        <v>-71.845377952</v>
      </c>
      <c r="G120" s="32" t="n">
        <f aca="false">G116+G117</f>
        <v>-65.31591518816</v>
      </c>
      <c r="I120" s="18" t="n">
        <f aca="false">B120+NPV(Inputs!$C$21,C120:G120)</f>
        <v>-364.860238582412</v>
      </c>
      <c r="J120" s="15" t="str">
        <f aca="false">IFERROR(IRR(B120:G120),"n/a")</f>
        <v>n/a</v>
      </c>
      <c r="K120" s="7" t="str">
        <f aca="false">IF(COUNTIF(C123:G123,"&lt;0")&gt;=5,"Beyond Y5","Year "&amp;(COUNTIF(C123:G123,"&lt;0")+1))</f>
        <v>Beyond Y5</v>
      </c>
    </row>
    <row r="121" customFormat="false" ht="15" hidden="false" customHeight="false" outlineLevel="0" collapsed="false">
      <c r="A121" s="16" t="s">
        <v>157</v>
      </c>
      <c r="B121" s="32" t="n">
        <f aca="false">-Inputs!$C$29</f>
        <v>-25</v>
      </c>
      <c r="C121" s="32" t="n">
        <f aca="false">C116+C118</f>
        <v>-36.396</v>
      </c>
      <c r="D121" s="32" t="n">
        <f aca="false">D116+D118</f>
        <v>25.69232</v>
      </c>
      <c r="E121" s="32" t="n">
        <f aca="false">E116+E118</f>
        <v>38.8377056</v>
      </c>
      <c r="F121" s="32" t="n">
        <f aca="false">F116+F118</f>
        <v>47.765110368</v>
      </c>
      <c r="G121" s="32" t="n">
        <f aca="false">G116+G118</f>
        <v>54.86450019744</v>
      </c>
      <c r="I121" s="18" t="n">
        <f aca="false">B121+NPV(Inputs!$C$21,C121:G121)</f>
        <v>59.0161437670302</v>
      </c>
      <c r="J121" s="15" t="n">
        <f aca="false">IFERROR(IRR(B121:G121),"n/a")</f>
        <v>0.389470287925416</v>
      </c>
      <c r="K121" s="7" t="str">
        <f aca="false">IF(COUNTIF(C124:G124,"&lt;0")&gt;=5,"Beyond Y5","Year "&amp;(COUNTIF(C124:G124,"&lt;0")+1))</f>
        <v>Year 3</v>
      </c>
    </row>
    <row r="122" customFormat="false" ht="15" hidden="false" customHeight="false" outlineLevel="0" collapsed="false">
      <c r="A122" s="16" t="s">
        <v>158</v>
      </c>
      <c r="B122" s="32" t="n">
        <f aca="false">-Inputs!$C$29</f>
        <v>-25</v>
      </c>
      <c r="C122" s="32" t="n">
        <f aca="false">C116+C119</f>
        <v>-61.856</v>
      </c>
      <c r="D122" s="32" t="n">
        <f aca="false">D116+D119</f>
        <v>-9.80448000000003</v>
      </c>
      <c r="E122" s="32" t="n">
        <f aca="false">E116+E119</f>
        <v>-7.49883839999998</v>
      </c>
      <c r="F122" s="32" t="n">
        <f aca="false">F116+F119</f>
        <v>-4.91604547200001</v>
      </c>
      <c r="G122" s="32" t="n">
        <f aca="false">G116+G119</f>
        <v>-2.03114810976004</v>
      </c>
      <c r="I122" s="18" t="n">
        <f aca="false">B122+NPV(Inputs!$C$21,C122:G122)</f>
        <v>-99.5884999614781</v>
      </c>
      <c r="J122" s="15" t="str">
        <f aca="false">IFERROR(IRR(B122:G122),"n/a")</f>
        <v>n/a</v>
      </c>
      <c r="K122" s="7" t="str">
        <f aca="false">IF(COUNTIF(C125:G125,"&lt;0")&gt;=5,"Beyond Y5","Year "&amp;(COUNTIF(C125:G125,"&lt;0")+1))</f>
        <v>Beyond Y5</v>
      </c>
    </row>
    <row r="123" customFormat="false" ht="15" hidden="false" customHeight="false" outlineLevel="0" collapsed="false">
      <c r="A123" s="7" t="s">
        <v>159</v>
      </c>
      <c r="C123" s="29" t="n">
        <f aca="false">B120+C120</f>
        <v>-161.396</v>
      </c>
      <c r="D123" s="29" t="n">
        <f aca="false">C123+D120</f>
        <v>-243.70368</v>
      </c>
      <c r="E123" s="29" t="n">
        <f aca="false">D123+E120</f>
        <v>-321.1859744</v>
      </c>
      <c r="F123" s="29" t="n">
        <f aca="false">E123+F120</f>
        <v>-393.031352352</v>
      </c>
      <c r="G123" s="29" t="n">
        <f aca="false">F123+G120</f>
        <v>-458.34726754016</v>
      </c>
    </row>
    <row r="124" customFormat="false" ht="15" hidden="false" customHeight="false" outlineLevel="0" collapsed="false">
      <c r="A124" s="7" t="s">
        <v>160</v>
      </c>
      <c r="C124" s="29" t="n">
        <f aca="false">B121+C121</f>
        <v>-61.396</v>
      </c>
      <c r="D124" s="29" t="n">
        <f aca="false">C124+D121</f>
        <v>-35.70368</v>
      </c>
      <c r="E124" s="29" t="n">
        <f aca="false">D124+E121</f>
        <v>3.13402559999999</v>
      </c>
      <c r="F124" s="29" t="n">
        <f aca="false">E124+F121</f>
        <v>50.899135968</v>
      </c>
      <c r="G124" s="29" t="n">
        <f aca="false">F124+G121</f>
        <v>105.76363616544</v>
      </c>
    </row>
    <row r="125" customFormat="false" ht="15" hidden="false" customHeight="false" outlineLevel="0" collapsed="false">
      <c r="A125" s="7" t="s">
        <v>161</v>
      </c>
      <c r="C125" s="29" t="n">
        <f aca="false">B122+C122</f>
        <v>-86.856</v>
      </c>
      <c r="D125" s="29" t="n">
        <f aca="false">C125+D122</f>
        <v>-96.66048</v>
      </c>
      <c r="E125" s="29" t="n">
        <f aca="false">D125+E122</f>
        <v>-104.1593184</v>
      </c>
      <c r="F125" s="29" t="n">
        <f aca="false">E125+F122</f>
        <v>-109.075363872</v>
      </c>
      <c r="G125" s="29" t="n">
        <f aca="false">F125+G122</f>
        <v>-111.10651198176</v>
      </c>
    </row>
    <row r="128" customFormat="false" ht="15" hidden="false" customHeight="false" outlineLevel="0" collapsed="false">
      <c r="A128" s="6" t="s">
        <v>170</v>
      </c>
      <c r="B128" s="6" t="s">
        <v>134</v>
      </c>
      <c r="C128" s="6" t="s">
        <v>135</v>
      </c>
      <c r="D128" s="6" t="s">
        <v>136</v>
      </c>
      <c r="E128" s="6" t="s">
        <v>137</v>
      </c>
      <c r="F128" s="6" t="s">
        <v>138</v>
      </c>
      <c r="G128" s="6" t="s">
        <v>139</v>
      </c>
      <c r="H128" s="13"/>
      <c r="I128" s="6" t="s">
        <v>106</v>
      </c>
      <c r="J128" s="6" t="s">
        <v>112</v>
      </c>
      <c r="K128" s="6" t="s">
        <v>113</v>
      </c>
    </row>
    <row r="129" customFormat="false" ht="15" hidden="false" customHeight="false" outlineLevel="0" collapsed="false">
      <c r="A129" s="7" t="s">
        <v>140</v>
      </c>
      <c r="C129" s="27" t="n">
        <f aca="false">Inputs!$D$5</f>
        <v>1</v>
      </c>
      <c r="D129" s="28" t="n">
        <f aca="false">C129*(1+Inputs!$D$6)</f>
        <v>1.08</v>
      </c>
      <c r="E129" s="28" t="n">
        <f aca="false">D129*(1+Inputs!$D$6)</f>
        <v>1.1664</v>
      </c>
      <c r="F129" s="28" t="n">
        <f aca="false">E129*(1+Inputs!$D$6)</f>
        <v>1.259712</v>
      </c>
      <c r="G129" s="28" t="n">
        <f aca="false">F129*(1+Inputs!$D$6)</f>
        <v>1.36048896</v>
      </c>
    </row>
    <row r="130" customFormat="false" ht="15" hidden="false" customHeight="false" outlineLevel="0" collapsed="false">
      <c r="A130" s="7" t="s">
        <v>141</v>
      </c>
      <c r="C130" s="29" t="n">
        <f aca="false">C129*Inputs!$C$12</f>
        <v>150</v>
      </c>
      <c r="D130" s="29" t="n">
        <f aca="false">D129*Inputs!$C$12</f>
        <v>162</v>
      </c>
      <c r="E130" s="29" t="n">
        <f aca="false">E129*Inputs!$C$12</f>
        <v>174.96</v>
      </c>
      <c r="F130" s="29" t="n">
        <f aca="false">F129*Inputs!$C$12</f>
        <v>188.9568</v>
      </c>
      <c r="G130" s="29" t="n">
        <f aca="false">G129*Inputs!$C$12</f>
        <v>204.073344</v>
      </c>
    </row>
    <row r="131" customFormat="false" ht="15" hidden="false" customHeight="false" outlineLevel="0" collapsed="false">
      <c r="A131" s="7" t="s">
        <v>142</v>
      </c>
      <c r="C131" s="29" t="n">
        <f aca="false">-C130*Inputs!$C$13</f>
        <v>-22.5</v>
      </c>
      <c r="D131" s="29" t="n">
        <f aca="false">-D130*Inputs!$C$13</f>
        <v>-24.3</v>
      </c>
      <c r="E131" s="29" t="n">
        <f aca="false">-E130*Inputs!$C$13</f>
        <v>-26.244</v>
      </c>
      <c r="F131" s="29" t="n">
        <f aca="false">-F130*Inputs!$C$13</f>
        <v>-28.34352</v>
      </c>
      <c r="G131" s="29" t="n">
        <f aca="false">-G130*Inputs!$C$13</f>
        <v>-30.6110016</v>
      </c>
    </row>
    <row r="132" customFormat="false" ht="15" hidden="false" customHeight="false" outlineLevel="0" collapsed="false">
      <c r="A132" s="7" t="s">
        <v>143</v>
      </c>
      <c r="C132" s="29" t="n">
        <f aca="false">C130+C131</f>
        <v>127.5</v>
      </c>
      <c r="D132" s="29" t="n">
        <f aca="false">D130+D131</f>
        <v>137.7</v>
      </c>
      <c r="E132" s="29" t="n">
        <f aca="false">E130+E131</f>
        <v>148.716</v>
      </c>
      <c r="F132" s="29" t="n">
        <f aca="false">F130+F131</f>
        <v>160.61328</v>
      </c>
      <c r="G132" s="29" t="n">
        <f aca="false">G130+G131</f>
        <v>173.4623424</v>
      </c>
    </row>
    <row r="133" customFormat="false" ht="15" hidden="false" customHeight="false" outlineLevel="0" collapsed="false">
      <c r="A133" s="7" t="s">
        <v>144</v>
      </c>
      <c r="C133" s="30" t="n">
        <f aca="false">(Inputs!$D$7*(1+Inputs!$C$35))</f>
        <v>180</v>
      </c>
      <c r="D133" s="31" t="n">
        <f aca="false">C133*(1+Inputs!$D$6)</f>
        <v>194.4</v>
      </c>
      <c r="E133" s="31" t="n">
        <f aca="false">D133*(1+Inputs!$D$6)</f>
        <v>209.952</v>
      </c>
      <c r="F133" s="31" t="n">
        <f aca="false">E133*(1+Inputs!$D$6)</f>
        <v>226.74816</v>
      </c>
      <c r="G133" s="31" t="n">
        <f aca="false">F133*(1+Inputs!$D$6)</f>
        <v>244.8880128</v>
      </c>
    </row>
    <row r="134" customFormat="false" ht="15" hidden="false" customHeight="false" outlineLevel="0" collapsed="false">
      <c r="A134" s="7" t="s">
        <v>145</v>
      </c>
      <c r="C134" s="31" t="n">
        <f aca="false">C133*Inputs!$C$14*Inputs!$C$15</f>
        <v>3600</v>
      </c>
      <c r="D134" s="31" t="n">
        <f aca="false">D133*Inputs!$C$14*Inputs!$C$15</f>
        <v>3888</v>
      </c>
      <c r="E134" s="31" t="n">
        <f aca="false">E133*Inputs!$C$14*Inputs!$C$15</f>
        <v>4199.04</v>
      </c>
      <c r="F134" s="31" t="n">
        <f aca="false">F133*Inputs!$C$14*Inputs!$C$15</f>
        <v>4534.9632</v>
      </c>
      <c r="G134" s="31" t="n">
        <f aca="false">G133*Inputs!$C$14*Inputs!$C$15</f>
        <v>4897.760256</v>
      </c>
    </row>
    <row r="135" customFormat="false" ht="15" hidden="false" customHeight="false" outlineLevel="0" collapsed="false">
      <c r="A135" s="7" t="s">
        <v>146</v>
      </c>
      <c r="C135" s="29" t="n">
        <f aca="false">C134*Inputs!$D$8/1000*Inputs!$C$16</f>
        <v>122.4</v>
      </c>
      <c r="D135" s="29" t="n">
        <f aca="false">D134*Inputs!$D$8/1000*Inputs!$C$16</f>
        <v>132.192</v>
      </c>
      <c r="E135" s="29" t="n">
        <f aca="false">E134*Inputs!$D$8/1000*Inputs!$C$16</f>
        <v>142.76736</v>
      </c>
      <c r="F135" s="29" t="n">
        <f aca="false">F134*Inputs!$D$8/1000*Inputs!$C$16</f>
        <v>154.1887488</v>
      </c>
      <c r="G135" s="29" t="n">
        <f aca="false">G134*Inputs!$D$8/1000*Inputs!$C$16</f>
        <v>166.523848704</v>
      </c>
    </row>
    <row r="136" customFormat="false" ht="15" hidden="false" customHeight="false" outlineLevel="0" collapsed="false">
      <c r="A136" s="16" t="s">
        <v>147</v>
      </c>
      <c r="C136" s="32" t="n">
        <f aca="false">C132+C135</f>
        <v>249.9</v>
      </c>
      <c r="D136" s="32" t="n">
        <f aca="false">D132+D135</f>
        <v>269.892</v>
      </c>
      <c r="E136" s="32" t="n">
        <f aca="false">E132+E135</f>
        <v>291.48336</v>
      </c>
      <c r="F136" s="32" t="n">
        <f aca="false">F132+F135</f>
        <v>314.8020288</v>
      </c>
      <c r="G136" s="32" t="n">
        <f aca="false">G132+G135</f>
        <v>339.986191104</v>
      </c>
    </row>
    <row r="137" customFormat="false" ht="15" hidden="false" customHeight="false" outlineLevel="0" collapsed="false">
      <c r="A137" s="7" t="s">
        <v>148</v>
      </c>
      <c r="C137" s="29" t="n">
        <f aca="false">-C135*Inputs!$D$9</f>
        <v>-30.6</v>
      </c>
      <c r="D137" s="29" t="n">
        <f aca="false">-D135*Inputs!$D$9</f>
        <v>-33.048</v>
      </c>
      <c r="E137" s="29" t="n">
        <f aca="false">-E135*Inputs!$D$9</f>
        <v>-35.69184</v>
      </c>
      <c r="F137" s="29" t="n">
        <f aca="false">-F135*Inputs!$D$9</f>
        <v>-38.5471872</v>
      </c>
      <c r="G137" s="29" t="n">
        <f aca="false">-G135*Inputs!$D$9</f>
        <v>-41.630962176</v>
      </c>
    </row>
    <row r="138" customFormat="false" ht="15" hidden="false" customHeight="false" outlineLevel="0" collapsed="false">
      <c r="A138" s="16" t="s">
        <v>149</v>
      </c>
      <c r="C138" s="32" t="n">
        <f aca="false">C136+C137</f>
        <v>219.3</v>
      </c>
      <c r="D138" s="32" t="n">
        <f aca="false">D136+D137</f>
        <v>236.844</v>
      </c>
      <c r="E138" s="32" t="n">
        <f aca="false">E136+E137</f>
        <v>255.79152</v>
      </c>
      <c r="F138" s="32" t="n">
        <f aca="false">F136+F137</f>
        <v>276.2548416</v>
      </c>
      <c r="G138" s="32" t="n">
        <f aca="false">G136+G137</f>
        <v>298.355228928</v>
      </c>
    </row>
    <row r="139" customFormat="false" ht="15" hidden="false" customHeight="false" outlineLevel="0" collapsed="false">
      <c r="A139" s="7" t="s">
        <v>150</v>
      </c>
      <c r="C139" s="29" t="n">
        <f aca="false">-Inputs!$C$17*(1+Inputs!$C$18)^0</f>
        <v>-60</v>
      </c>
      <c r="D139" s="29" t="n">
        <f aca="false">-Inputs!$C$17*(1+Inputs!$C$18)^1</f>
        <v>-61.8</v>
      </c>
      <c r="E139" s="29" t="n">
        <f aca="false">-Inputs!$C$17*(1+Inputs!$C$18)^2</f>
        <v>-63.654</v>
      </c>
      <c r="F139" s="29" t="n">
        <f aca="false">-Inputs!$C$17*(1+Inputs!$C$18)^3</f>
        <v>-65.56362</v>
      </c>
      <c r="G139" s="29" t="n">
        <f aca="false">-Inputs!$C$17*(1+Inputs!$C$18)^4</f>
        <v>-67.5305286</v>
      </c>
    </row>
    <row r="140" customFormat="false" ht="15" hidden="false" customHeight="false" outlineLevel="0" collapsed="false">
      <c r="A140" s="7" t="s">
        <v>151</v>
      </c>
      <c r="C140" s="29" t="n">
        <f aca="false">-(C138*Inputs!$C$19+Inputs!$C$20)</f>
        <v>-67.544</v>
      </c>
      <c r="D140" s="29" t="n">
        <f aca="false">-(D138*Inputs!$C$19)</f>
        <v>-18.94752</v>
      </c>
      <c r="E140" s="29" t="n">
        <f aca="false">-(E138*Inputs!$C$19)</f>
        <v>-20.4633216</v>
      </c>
      <c r="F140" s="29" t="n">
        <f aca="false">-(F138*Inputs!$C$19)</f>
        <v>-22.100387328</v>
      </c>
      <c r="G140" s="29" t="n">
        <f aca="false">-(G138*Inputs!$C$19)</f>
        <v>-23.86841831424</v>
      </c>
    </row>
    <row r="141" customFormat="false" ht="15" hidden="false" customHeight="false" outlineLevel="0" collapsed="false">
      <c r="A141" s="16" t="s">
        <v>152</v>
      </c>
      <c r="C141" s="32" t="n">
        <f aca="false">C138+C139+C140</f>
        <v>91.756</v>
      </c>
      <c r="D141" s="32" t="n">
        <f aca="false">D138+D139+D140</f>
        <v>156.09648</v>
      </c>
      <c r="E141" s="32" t="n">
        <f aca="false">E138+E139+E140</f>
        <v>171.6741984</v>
      </c>
      <c r="F141" s="32" t="n">
        <f aca="false">F138+F139+F140</f>
        <v>188.590834272</v>
      </c>
      <c r="G141" s="32" t="n">
        <f aca="false">G138+G139+G140</f>
        <v>206.95628201376</v>
      </c>
    </row>
    <row r="142" customFormat="false" ht="15" hidden="false" customHeight="false" outlineLevel="0" collapsed="false">
      <c r="A142" s="7" t="s">
        <v>153</v>
      </c>
      <c r="C142" s="29" t="n">
        <f aca="false">-Inputs!$C$24*(1+Inputs!$C$25)^0</f>
        <v>-200</v>
      </c>
      <c r="D142" s="29" t="n">
        <f aca="false">-Inputs!$C$24*(1+Inputs!$C$25)^1</f>
        <v>-208</v>
      </c>
      <c r="E142" s="29" t="n">
        <f aca="false">-Inputs!$C$24*(1+Inputs!$C$25)^2</f>
        <v>-216.32</v>
      </c>
      <c r="F142" s="29" t="n">
        <f aca="false">-Inputs!$C$24*(1+Inputs!$C$25)^3</f>
        <v>-224.9728</v>
      </c>
      <c r="G142" s="29" t="n">
        <f aca="false">-Inputs!$C$24*(1+Inputs!$C$25)^4</f>
        <v>-233.971712</v>
      </c>
    </row>
    <row r="143" customFormat="false" ht="15" hidden="false" customHeight="false" outlineLevel="0" collapsed="false">
      <c r="A143" s="7" t="s">
        <v>154</v>
      </c>
      <c r="C143" s="29" t="n">
        <f aca="false">-MAX(Inputs!$C$26,Inputs!$C$27*C136)</f>
        <v>-100</v>
      </c>
      <c r="D143" s="29" t="n">
        <f aca="false">-MAX(Inputs!$C$26,Inputs!$C$27*D136)</f>
        <v>-107.9568</v>
      </c>
      <c r="E143" s="29" t="n">
        <f aca="false">-MAX(Inputs!$C$26,Inputs!$C$27*E136)</f>
        <v>-116.593344</v>
      </c>
      <c r="F143" s="29" t="n">
        <f aca="false">-MAX(Inputs!$C$26,Inputs!$C$27*F136)</f>
        <v>-125.92081152</v>
      </c>
      <c r="G143" s="29" t="n">
        <f aca="false">-MAX(Inputs!$C$26,Inputs!$C$27*G136)</f>
        <v>-135.9944764416</v>
      </c>
    </row>
    <row r="144" customFormat="false" ht="15" hidden="false" customHeight="false" outlineLevel="0" collapsed="false">
      <c r="A144" s="7" t="s">
        <v>155</v>
      </c>
      <c r="C144" s="29" t="n">
        <f aca="false">-Inputs!$C$28*C136</f>
        <v>-149.94</v>
      </c>
      <c r="D144" s="29" t="n">
        <f aca="false">-Inputs!$C$28*D136</f>
        <v>-161.9352</v>
      </c>
      <c r="E144" s="29" t="n">
        <f aca="false">-Inputs!$C$28*E136</f>
        <v>-174.890016</v>
      </c>
      <c r="F144" s="29" t="n">
        <f aca="false">-Inputs!$C$28*F136</f>
        <v>-188.88121728</v>
      </c>
      <c r="G144" s="29" t="n">
        <f aca="false">-Inputs!$C$28*G136</f>
        <v>-203.9917146624</v>
      </c>
    </row>
    <row r="145" customFormat="false" ht="15" hidden="false" customHeight="false" outlineLevel="0" collapsed="false">
      <c r="A145" s="16" t="s">
        <v>156</v>
      </c>
      <c r="B145" s="32" t="n">
        <f aca="false">-Inputs!$C$29</f>
        <v>-25</v>
      </c>
      <c r="C145" s="32" t="n">
        <f aca="false">C141+C142</f>
        <v>-108.244</v>
      </c>
      <c r="D145" s="32" t="n">
        <f aca="false">D141+D142</f>
        <v>-51.90352</v>
      </c>
      <c r="E145" s="32" t="n">
        <f aca="false">E141+E142</f>
        <v>-44.6458016</v>
      </c>
      <c r="F145" s="32" t="n">
        <f aca="false">F141+F142</f>
        <v>-36.381965728</v>
      </c>
      <c r="G145" s="32" t="n">
        <f aca="false">G141+G142</f>
        <v>-27.01542998624</v>
      </c>
      <c r="I145" s="18" t="n">
        <f aca="false">B145+NPV(Inputs!$C$21,C145:G145)</f>
        <v>-241.465987633135</v>
      </c>
      <c r="J145" s="15" t="str">
        <f aca="false">IFERROR(IRR(B145:G145),"n/a")</f>
        <v>n/a</v>
      </c>
      <c r="K145" s="7" t="str">
        <f aca="false">IF(COUNTIF(C148:G148,"&lt;0")&gt;=5,"Beyond Y5","Year "&amp;(COUNTIF(C148:G148,"&lt;0")+1))</f>
        <v>Beyond Y5</v>
      </c>
    </row>
    <row r="146" customFormat="false" ht="15" hidden="false" customHeight="false" outlineLevel="0" collapsed="false">
      <c r="A146" s="16" t="s">
        <v>157</v>
      </c>
      <c r="B146" s="32" t="n">
        <f aca="false">-Inputs!$C$29</f>
        <v>-25</v>
      </c>
      <c r="C146" s="32" t="n">
        <f aca="false">C141+C143</f>
        <v>-8.24400000000001</v>
      </c>
      <c r="D146" s="32" t="n">
        <f aca="false">D141+D143</f>
        <v>48.13968</v>
      </c>
      <c r="E146" s="32" t="n">
        <f aca="false">E141+E143</f>
        <v>55.0808544</v>
      </c>
      <c r="F146" s="32" t="n">
        <f aca="false">F141+F143</f>
        <v>62.670022752</v>
      </c>
      <c r="G146" s="32" t="n">
        <f aca="false">G141+G143</f>
        <v>70.96180557216</v>
      </c>
      <c r="I146" s="18" t="n">
        <f aca="false">B146+NPV(Inputs!$C$21,C146:G146)</f>
        <v>135.539542196795</v>
      </c>
      <c r="J146" s="15" t="n">
        <f aca="false">IFERROR(IRR(B146:G146),"n/a")</f>
        <v>0.892963613218886</v>
      </c>
      <c r="K146" s="7" t="str">
        <f aca="false">IF(COUNTIF(C149:G149,"&lt;0")&gt;=5,"Beyond Y5","Year "&amp;(COUNTIF(C149:G149,"&lt;0")+1))</f>
        <v>Year 2</v>
      </c>
    </row>
    <row r="147" customFormat="false" ht="15" hidden="false" customHeight="false" outlineLevel="0" collapsed="false">
      <c r="A147" s="16" t="s">
        <v>158</v>
      </c>
      <c r="B147" s="32" t="n">
        <f aca="false">-Inputs!$C$29</f>
        <v>-25</v>
      </c>
      <c r="C147" s="32" t="n">
        <f aca="false">C141+C144</f>
        <v>-58.184</v>
      </c>
      <c r="D147" s="32" t="n">
        <f aca="false">D141+D144</f>
        <v>-5.83872</v>
      </c>
      <c r="E147" s="32" t="n">
        <f aca="false">E141+E144</f>
        <v>-3.21581759999998</v>
      </c>
      <c r="F147" s="32" t="n">
        <f aca="false">F141+F144</f>
        <v>-0.290383008000021</v>
      </c>
      <c r="G147" s="32" t="n">
        <f aca="false">G141+G144</f>
        <v>2.96456735135999</v>
      </c>
      <c r="I147" s="18" t="n">
        <f aca="false">B147+NPV(Inputs!$C$21,C147:G147)</f>
        <v>-83.4935976637462</v>
      </c>
      <c r="J147" s="15" t="str">
        <f aca="false">IFERROR(IRR(B147:G147),"n/a")</f>
        <v>n/a</v>
      </c>
      <c r="K147" s="7" t="str">
        <f aca="false">IF(COUNTIF(C150:G150,"&lt;0")&gt;=5,"Beyond Y5","Year "&amp;(COUNTIF(C150:G150,"&lt;0")+1))</f>
        <v>Beyond Y5</v>
      </c>
    </row>
    <row r="148" customFormat="false" ht="15" hidden="false" customHeight="false" outlineLevel="0" collapsed="false">
      <c r="A148" s="7" t="s">
        <v>159</v>
      </c>
      <c r="C148" s="29" t="n">
        <f aca="false">B145+C145</f>
        <v>-133.244</v>
      </c>
      <c r="D148" s="29" t="n">
        <f aca="false">C148+D145</f>
        <v>-185.14752</v>
      </c>
      <c r="E148" s="29" t="n">
        <f aca="false">D148+E145</f>
        <v>-229.7933216</v>
      </c>
      <c r="F148" s="29" t="n">
        <f aca="false">E148+F145</f>
        <v>-266.175287328</v>
      </c>
      <c r="G148" s="29" t="n">
        <f aca="false">F148+G145</f>
        <v>-293.19071731424</v>
      </c>
    </row>
    <row r="149" customFormat="false" ht="15" hidden="false" customHeight="false" outlineLevel="0" collapsed="false">
      <c r="A149" s="7" t="s">
        <v>160</v>
      </c>
      <c r="C149" s="29" t="n">
        <f aca="false">B146+C146</f>
        <v>-33.244</v>
      </c>
      <c r="D149" s="29" t="n">
        <f aca="false">C149+D146</f>
        <v>14.89568</v>
      </c>
      <c r="E149" s="29" t="n">
        <f aca="false">D149+E146</f>
        <v>69.9765344</v>
      </c>
      <c r="F149" s="29" t="n">
        <f aca="false">E149+F146</f>
        <v>132.646557152</v>
      </c>
      <c r="G149" s="29" t="n">
        <f aca="false">F149+G146</f>
        <v>203.60836272416</v>
      </c>
    </row>
    <row r="150" customFormat="false" ht="15" hidden="false" customHeight="false" outlineLevel="0" collapsed="false">
      <c r="A150" s="7" t="s">
        <v>161</v>
      </c>
      <c r="C150" s="29" t="n">
        <f aca="false">B147+C147</f>
        <v>-83.184</v>
      </c>
      <c r="D150" s="29" t="n">
        <f aca="false">C150+D147</f>
        <v>-89.02272</v>
      </c>
      <c r="E150" s="29" t="n">
        <f aca="false">D150+E147</f>
        <v>-92.2385376</v>
      </c>
      <c r="F150" s="29" t="n">
        <f aca="false">E150+F147</f>
        <v>-92.528920608</v>
      </c>
      <c r="G150" s="29" t="n">
        <f aca="false">F150+G147</f>
        <v>-89.56435325664</v>
      </c>
    </row>
    <row r="153" customFormat="false" ht="15" hidden="false" customHeight="false" outlineLevel="0" collapsed="false">
      <c r="A153" s="6" t="s">
        <v>171</v>
      </c>
      <c r="B153" s="6" t="s">
        <v>134</v>
      </c>
      <c r="C153" s="6" t="s">
        <v>135</v>
      </c>
      <c r="D153" s="6" t="s">
        <v>136</v>
      </c>
      <c r="E153" s="6" t="s">
        <v>137</v>
      </c>
      <c r="F153" s="6" t="s">
        <v>138</v>
      </c>
      <c r="G153" s="6" t="s">
        <v>139</v>
      </c>
      <c r="H153" s="13"/>
      <c r="I153" s="6" t="s">
        <v>106</v>
      </c>
      <c r="J153" s="6" t="s">
        <v>112</v>
      </c>
      <c r="K153" s="6" t="s">
        <v>113</v>
      </c>
    </row>
    <row r="154" customFormat="false" ht="15" hidden="false" customHeight="false" outlineLevel="0" collapsed="false">
      <c r="A154" s="7" t="s">
        <v>140</v>
      </c>
      <c r="C154" s="27" t="n">
        <f aca="false">Inputs!$D$5</f>
        <v>1</v>
      </c>
      <c r="D154" s="28" t="n">
        <f aca="false">C154*(1+Inputs!$D$6)</f>
        <v>1.08</v>
      </c>
      <c r="E154" s="28" t="n">
        <f aca="false">D154*(1+Inputs!$D$6)</f>
        <v>1.1664</v>
      </c>
      <c r="F154" s="28" t="n">
        <f aca="false">E154*(1+Inputs!$D$6)</f>
        <v>1.259712</v>
      </c>
      <c r="G154" s="28" t="n">
        <f aca="false">F154*(1+Inputs!$D$6)</f>
        <v>1.36048896</v>
      </c>
    </row>
    <row r="155" customFormat="false" ht="15" hidden="false" customHeight="false" outlineLevel="0" collapsed="false">
      <c r="A155" s="7" t="s">
        <v>141</v>
      </c>
      <c r="C155" s="29" t="n">
        <f aca="false">C154*Inputs!$C$12</f>
        <v>150</v>
      </c>
      <c r="D155" s="29" t="n">
        <f aca="false">D154*Inputs!$C$12</f>
        <v>162</v>
      </c>
      <c r="E155" s="29" t="n">
        <f aca="false">E154*Inputs!$C$12</f>
        <v>174.96</v>
      </c>
      <c r="F155" s="29" t="n">
        <f aca="false">F154*Inputs!$C$12</f>
        <v>188.9568</v>
      </c>
      <c r="G155" s="29" t="n">
        <f aca="false">G154*Inputs!$C$12</f>
        <v>204.073344</v>
      </c>
    </row>
    <row r="156" customFormat="false" ht="15" hidden="false" customHeight="false" outlineLevel="0" collapsed="false">
      <c r="A156" s="7" t="s">
        <v>142</v>
      </c>
      <c r="C156" s="29" t="n">
        <f aca="false">-C155*Inputs!$C$13</f>
        <v>-22.5</v>
      </c>
      <c r="D156" s="29" t="n">
        <f aca="false">-D155*Inputs!$C$13</f>
        <v>-24.3</v>
      </c>
      <c r="E156" s="29" t="n">
        <f aca="false">-E155*Inputs!$C$13</f>
        <v>-26.244</v>
      </c>
      <c r="F156" s="29" t="n">
        <f aca="false">-F155*Inputs!$C$13</f>
        <v>-28.34352</v>
      </c>
      <c r="G156" s="29" t="n">
        <f aca="false">-G155*Inputs!$C$13</f>
        <v>-30.6110016</v>
      </c>
    </row>
    <row r="157" customFormat="false" ht="15" hidden="false" customHeight="false" outlineLevel="0" collapsed="false">
      <c r="A157" s="7" t="s">
        <v>143</v>
      </c>
      <c r="C157" s="29" t="n">
        <f aca="false">C155+C156</f>
        <v>127.5</v>
      </c>
      <c r="D157" s="29" t="n">
        <f aca="false">D155+D156</f>
        <v>137.7</v>
      </c>
      <c r="E157" s="29" t="n">
        <f aca="false">E155+E156</f>
        <v>148.716</v>
      </c>
      <c r="F157" s="29" t="n">
        <f aca="false">F155+F156</f>
        <v>160.61328</v>
      </c>
      <c r="G157" s="29" t="n">
        <f aca="false">G155+G156</f>
        <v>173.4623424</v>
      </c>
    </row>
    <row r="158" customFormat="false" ht="15" hidden="false" customHeight="false" outlineLevel="0" collapsed="false">
      <c r="A158" s="7" t="s">
        <v>144</v>
      </c>
      <c r="C158" s="30" t="n">
        <f aca="false">Inputs!$D$7</f>
        <v>150</v>
      </c>
      <c r="D158" s="31" t="n">
        <f aca="false">C158*(1+Inputs!$D$6)</f>
        <v>162</v>
      </c>
      <c r="E158" s="31" t="n">
        <f aca="false">D158*(1+Inputs!$D$6)</f>
        <v>174.96</v>
      </c>
      <c r="F158" s="31" t="n">
        <f aca="false">E158*(1+Inputs!$D$6)</f>
        <v>188.9568</v>
      </c>
      <c r="G158" s="31" t="n">
        <f aca="false">F158*(1+Inputs!$D$6)</f>
        <v>204.073344</v>
      </c>
    </row>
    <row r="159" customFormat="false" ht="15" hidden="false" customHeight="false" outlineLevel="0" collapsed="false">
      <c r="A159" s="7" t="s">
        <v>145</v>
      </c>
      <c r="C159" s="31" t="n">
        <f aca="false">C158*Inputs!$C$14*Inputs!$C$15</f>
        <v>3000</v>
      </c>
      <c r="D159" s="31" t="n">
        <f aca="false">D158*Inputs!$C$14*Inputs!$C$15</f>
        <v>3240</v>
      </c>
      <c r="E159" s="31" t="n">
        <f aca="false">E158*Inputs!$C$14*Inputs!$C$15</f>
        <v>3499.2</v>
      </c>
      <c r="F159" s="31" t="n">
        <f aca="false">F158*Inputs!$C$14*Inputs!$C$15</f>
        <v>3779.136</v>
      </c>
      <c r="G159" s="31" t="n">
        <f aca="false">G158*Inputs!$C$14*Inputs!$C$15</f>
        <v>4081.46688</v>
      </c>
    </row>
    <row r="160" customFormat="false" ht="15" hidden="false" customHeight="false" outlineLevel="0" collapsed="false">
      <c r="A160" s="7" t="s">
        <v>146</v>
      </c>
      <c r="C160" s="29" t="n">
        <f aca="false">C159*(Inputs!$D$8*(1-Inputs!$C$35))/1000*Inputs!$C$16</f>
        <v>81.6</v>
      </c>
      <c r="D160" s="29" t="n">
        <f aca="false">D159*(Inputs!$D$8*(1-Inputs!$C$35))/1000*Inputs!$C$16</f>
        <v>88.128</v>
      </c>
      <c r="E160" s="29" t="n">
        <f aca="false">E159*(Inputs!$D$8*(1-Inputs!$C$35))/1000*Inputs!$C$16</f>
        <v>95.17824</v>
      </c>
      <c r="F160" s="29" t="n">
        <f aca="false">F159*(Inputs!$D$8*(1-Inputs!$C$35))/1000*Inputs!$C$16</f>
        <v>102.7924992</v>
      </c>
      <c r="G160" s="29" t="n">
        <f aca="false">G159*(Inputs!$D$8*(1-Inputs!$C$35))/1000*Inputs!$C$16</f>
        <v>111.015899136</v>
      </c>
    </row>
    <row r="161" customFormat="false" ht="15" hidden="false" customHeight="false" outlineLevel="0" collapsed="false">
      <c r="A161" s="16" t="s">
        <v>147</v>
      </c>
      <c r="C161" s="32" t="n">
        <f aca="false">C157+C160</f>
        <v>209.1</v>
      </c>
      <c r="D161" s="32" t="n">
        <f aca="false">D157+D160</f>
        <v>225.828</v>
      </c>
      <c r="E161" s="32" t="n">
        <f aca="false">E157+E160</f>
        <v>243.89424</v>
      </c>
      <c r="F161" s="32" t="n">
        <f aca="false">F157+F160</f>
        <v>263.4057792</v>
      </c>
      <c r="G161" s="32" t="n">
        <f aca="false">G157+G160</f>
        <v>284.478241536</v>
      </c>
    </row>
    <row r="162" customFormat="false" ht="15" hidden="false" customHeight="false" outlineLevel="0" collapsed="false">
      <c r="A162" s="7" t="s">
        <v>148</v>
      </c>
      <c r="C162" s="29" t="n">
        <f aca="false">-C160*Inputs!$D$9</f>
        <v>-20.4</v>
      </c>
      <c r="D162" s="29" t="n">
        <f aca="false">-D160*Inputs!$D$9</f>
        <v>-22.032</v>
      </c>
      <c r="E162" s="29" t="n">
        <f aca="false">-E160*Inputs!$D$9</f>
        <v>-23.79456</v>
      </c>
      <c r="F162" s="29" t="n">
        <f aca="false">-F160*Inputs!$D$9</f>
        <v>-25.6981248</v>
      </c>
      <c r="G162" s="29" t="n">
        <f aca="false">-G160*Inputs!$D$9</f>
        <v>-27.753974784</v>
      </c>
    </row>
    <row r="163" customFormat="false" ht="15" hidden="false" customHeight="false" outlineLevel="0" collapsed="false">
      <c r="A163" s="16" t="s">
        <v>149</v>
      </c>
      <c r="C163" s="32" t="n">
        <f aca="false">C161+C162</f>
        <v>188.7</v>
      </c>
      <c r="D163" s="32" t="n">
        <f aca="false">D161+D162</f>
        <v>203.796</v>
      </c>
      <c r="E163" s="32" t="n">
        <f aca="false">E161+E162</f>
        <v>220.09968</v>
      </c>
      <c r="F163" s="32" t="n">
        <f aca="false">F161+F162</f>
        <v>237.7076544</v>
      </c>
      <c r="G163" s="32" t="n">
        <f aca="false">G161+G162</f>
        <v>256.724266752</v>
      </c>
    </row>
    <row r="164" customFormat="false" ht="15" hidden="false" customHeight="false" outlineLevel="0" collapsed="false">
      <c r="A164" s="7" t="s">
        <v>150</v>
      </c>
      <c r="C164" s="29" t="n">
        <f aca="false">-Inputs!$C$17*(1+Inputs!$C$18)^0</f>
        <v>-60</v>
      </c>
      <c r="D164" s="29" t="n">
        <f aca="false">-Inputs!$C$17*(1+Inputs!$C$18)^1</f>
        <v>-61.8</v>
      </c>
      <c r="E164" s="29" t="n">
        <f aca="false">-Inputs!$C$17*(1+Inputs!$C$18)^2</f>
        <v>-63.654</v>
      </c>
      <c r="F164" s="29" t="n">
        <f aca="false">-Inputs!$C$17*(1+Inputs!$C$18)^3</f>
        <v>-65.56362</v>
      </c>
      <c r="G164" s="29" t="n">
        <f aca="false">-Inputs!$C$17*(1+Inputs!$C$18)^4</f>
        <v>-67.5305286</v>
      </c>
    </row>
    <row r="165" customFormat="false" ht="15" hidden="false" customHeight="false" outlineLevel="0" collapsed="false">
      <c r="A165" s="7" t="s">
        <v>151</v>
      </c>
      <c r="C165" s="29" t="n">
        <f aca="false">-(C163*Inputs!$C$19+Inputs!$C$20)</f>
        <v>-65.096</v>
      </c>
      <c r="D165" s="29" t="n">
        <f aca="false">-(D163*Inputs!$C$19)</f>
        <v>-16.30368</v>
      </c>
      <c r="E165" s="29" t="n">
        <f aca="false">-(E163*Inputs!$C$19)</f>
        <v>-17.6079744</v>
      </c>
      <c r="F165" s="29" t="n">
        <f aca="false">-(F163*Inputs!$C$19)</f>
        <v>-19.016612352</v>
      </c>
      <c r="G165" s="29" t="n">
        <f aca="false">-(G163*Inputs!$C$19)</f>
        <v>-20.53794134016</v>
      </c>
    </row>
    <row r="166" customFormat="false" ht="15" hidden="false" customHeight="false" outlineLevel="0" collapsed="false">
      <c r="A166" s="16" t="s">
        <v>152</v>
      </c>
      <c r="C166" s="32" t="n">
        <f aca="false">C163+C164+C165</f>
        <v>63.604</v>
      </c>
      <c r="D166" s="32" t="n">
        <f aca="false">D163+D164+D165</f>
        <v>125.69232</v>
      </c>
      <c r="E166" s="32" t="n">
        <f aca="false">E163+E164+E165</f>
        <v>138.8377056</v>
      </c>
      <c r="F166" s="32" t="n">
        <f aca="false">F163+F164+F165</f>
        <v>153.127422048</v>
      </c>
      <c r="G166" s="32" t="n">
        <f aca="false">G163+G164+G165</f>
        <v>168.65579681184</v>
      </c>
    </row>
    <row r="167" customFormat="false" ht="15" hidden="false" customHeight="false" outlineLevel="0" collapsed="false">
      <c r="A167" s="7" t="s">
        <v>153</v>
      </c>
      <c r="C167" s="29" t="n">
        <f aca="false">-Inputs!$C$24*(1+Inputs!$C$25)^0</f>
        <v>-200</v>
      </c>
      <c r="D167" s="29" t="n">
        <f aca="false">-Inputs!$C$24*(1+Inputs!$C$25)^1</f>
        <v>-208</v>
      </c>
      <c r="E167" s="29" t="n">
        <f aca="false">-Inputs!$C$24*(1+Inputs!$C$25)^2</f>
        <v>-216.32</v>
      </c>
      <c r="F167" s="29" t="n">
        <f aca="false">-Inputs!$C$24*(1+Inputs!$C$25)^3</f>
        <v>-224.9728</v>
      </c>
      <c r="G167" s="29" t="n">
        <f aca="false">-Inputs!$C$24*(1+Inputs!$C$25)^4</f>
        <v>-233.971712</v>
      </c>
    </row>
    <row r="168" customFormat="false" ht="15" hidden="false" customHeight="false" outlineLevel="0" collapsed="false">
      <c r="A168" s="7" t="s">
        <v>154</v>
      </c>
      <c r="C168" s="29" t="n">
        <f aca="false">-MAX(Inputs!$C$26,Inputs!$C$27*C161)</f>
        <v>-100</v>
      </c>
      <c r="D168" s="29" t="n">
        <f aca="false">-MAX(Inputs!$C$26,Inputs!$C$27*D161)</f>
        <v>-100</v>
      </c>
      <c r="E168" s="29" t="n">
        <f aca="false">-MAX(Inputs!$C$26,Inputs!$C$27*E161)</f>
        <v>-100</v>
      </c>
      <c r="F168" s="29" t="n">
        <f aca="false">-MAX(Inputs!$C$26,Inputs!$C$27*F161)</f>
        <v>-105.36231168</v>
      </c>
      <c r="G168" s="29" t="n">
        <f aca="false">-MAX(Inputs!$C$26,Inputs!$C$27*G161)</f>
        <v>-113.7912966144</v>
      </c>
    </row>
    <row r="169" customFormat="false" ht="15" hidden="false" customHeight="false" outlineLevel="0" collapsed="false">
      <c r="A169" s="7" t="s">
        <v>155</v>
      </c>
      <c r="C169" s="29" t="n">
        <f aca="false">-Inputs!$C$28*C161</f>
        <v>-125.46</v>
      </c>
      <c r="D169" s="29" t="n">
        <f aca="false">-Inputs!$C$28*D161</f>
        <v>-135.4968</v>
      </c>
      <c r="E169" s="29" t="n">
        <f aca="false">-Inputs!$C$28*E161</f>
        <v>-146.336544</v>
      </c>
      <c r="F169" s="29" t="n">
        <f aca="false">-Inputs!$C$28*F161</f>
        <v>-158.04346752</v>
      </c>
      <c r="G169" s="29" t="n">
        <f aca="false">-Inputs!$C$28*G161</f>
        <v>-170.6869449216</v>
      </c>
    </row>
    <row r="170" customFormat="false" ht="15" hidden="false" customHeight="false" outlineLevel="0" collapsed="false">
      <c r="A170" s="16" t="s">
        <v>156</v>
      </c>
      <c r="B170" s="32" t="n">
        <f aca="false">-Inputs!$C$29</f>
        <v>-25</v>
      </c>
      <c r="C170" s="32" t="n">
        <f aca="false">C166+C167</f>
        <v>-136.396</v>
      </c>
      <c r="D170" s="32" t="n">
        <f aca="false">D166+D167</f>
        <v>-82.3076800000001</v>
      </c>
      <c r="E170" s="32" t="n">
        <f aca="false">E166+E167</f>
        <v>-77.4822944</v>
      </c>
      <c r="F170" s="32" t="n">
        <f aca="false">F166+F167</f>
        <v>-71.8453779520001</v>
      </c>
      <c r="G170" s="32" t="n">
        <f aca="false">G166+G167</f>
        <v>-65.31591518816</v>
      </c>
      <c r="I170" s="18" t="n">
        <f aca="false">B170+NPV(Inputs!$C$21,C170:G170)</f>
        <v>-364.860238582412</v>
      </c>
      <c r="J170" s="15" t="str">
        <f aca="false">IFERROR(IRR(B170:G170),"n/a")</f>
        <v>n/a</v>
      </c>
      <c r="K170" s="7" t="str">
        <f aca="false">IF(COUNTIF(C173:G173,"&lt;0")&gt;=5,"Beyond Y5","Year "&amp;(COUNTIF(C173:G173,"&lt;0")+1))</f>
        <v>Beyond Y5</v>
      </c>
    </row>
    <row r="171" customFormat="false" ht="15" hidden="false" customHeight="false" outlineLevel="0" collapsed="false">
      <c r="A171" s="16" t="s">
        <v>157</v>
      </c>
      <c r="B171" s="32" t="n">
        <f aca="false">-Inputs!$C$29</f>
        <v>-25</v>
      </c>
      <c r="C171" s="32" t="n">
        <f aca="false">C166+C168</f>
        <v>-36.396</v>
      </c>
      <c r="D171" s="32" t="n">
        <f aca="false">D166+D168</f>
        <v>25.69232</v>
      </c>
      <c r="E171" s="32" t="n">
        <f aca="false">E166+E168</f>
        <v>38.8377056000001</v>
      </c>
      <c r="F171" s="32" t="n">
        <f aca="false">F166+F168</f>
        <v>47.7651103679999</v>
      </c>
      <c r="G171" s="32" t="n">
        <f aca="false">G166+G168</f>
        <v>54.86450019744</v>
      </c>
      <c r="I171" s="18" t="n">
        <f aca="false">B171+NPV(Inputs!$C$21,C171:G171)</f>
        <v>59.0161437670302</v>
      </c>
      <c r="J171" s="15" t="n">
        <f aca="false">IFERROR(IRR(B171:G171),"n/a")</f>
        <v>0.389470287925416</v>
      </c>
      <c r="K171" s="7" t="str">
        <f aca="false">IF(COUNTIF(C174:G174,"&lt;0")&gt;=5,"Beyond Y5","Year "&amp;(COUNTIF(C174:G174,"&lt;0")+1))</f>
        <v>Year 3</v>
      </c>
    </row>
    <row r="172" customFormat="false" ht="15" hidden="false" customHeight="false" outlineLevel="0" collapsed="false">
      <c r="A172" s="16" t="s">
        <v>158</v>
      </c>
      <c r="B172" s="32" t="n">
        <f aca="false">-Inputs!$C$29</f>
        <v>-25</v>
      </c>
      <c r="C172" s="32" t="n">
        <f aca="false">C166+C169</f>
        <v>-61.856</v>
      </c>
      <c r="D172" s="32" t="n">
        <f aca="false">D166+D169</f>
        <v>-9.80448000000003</v>
      </c>
      <c r="E172" s="32" t="n">
        <f aca="false">E166+E169</f>
        <v>-7.49883839999995</v>
      </c>
      <c r="F172" s="32" t="n">
        <f aca="false">F166+F169</f>
        <v>-4.91604547200004</v>
      </c>
      <c r="G172" s="32" t="n">
        <f aca="false">G166+G169</f>
        <v>-2.03114810976001</v>
      </c>
      <c r="I172" s="18" t="n">
        <f aca="false">B172+NPV(Inputs!$C$21,C172:G172)</f>
        <v>-99.5884999614781</v>
      </c>
      <c r="J172" s="15" t="str">
        <f aca="false">IFERROR(IRR(B172:G172),"n/a")</f>
        <v>n/a</v>
      </c>
      <c r="K172" s="7" t="str">
        <f aca="false">IF(COUNTIF(C175:G175,"&lt;0")&gt;=5,"Beyond Y5","Year "&amp;(COUNTIF(C175:G175,"&lt;0")+1))</f>
        <v>Beyond Y5</v>
      </c>
    </row>
    <row r="173" customFormat="false" ht="15" hidden="false" customHeight="false" outlineLevel="0" collapsed="false">
      <c r="A173" s="7" t="s">
        <v>159</v>
      </c>
      <c r="C173" s="29" t="n">
        <f aca="false">B170+C170</f>
        <v>-161.396</v>
      </c>
      <c r="D173" s="29" t="n">
        <f aca="false">C173+D170</f>
        <v>-243.70368</v>
      </c>
      <c r="E173" s="29" t="n">
        <f aca="false">D173+E170</f>
        <v>-321.1859744</v>
      </c>
      <c r="F173" s="29" t="n">
        <f aca="false">E173+F170</f>
        <v>-393.031352352</v>
      </c>
      <c r="G173" s="29" t="n">
        <f aca="false">F173+G170</f>
        <v>-458.34726754016</v>
      </c>
    </row>
    <row r="174" customFormat="false" ht="15" hidden="false" customHeight="false" outlineLevel="0" collapsed="false">
      <c r="A174" s="7" t="s">
        <v>160</v>
      </c>
      <c r="C174" s="29" t="n">
        <f aca="false">B171+C171</f>
        <v>-61.396</v>
      </c>
      <c r="D174" s="29" t="n">
        <f aca="false">C174+D171</f>
        <v>-35.7036800000001</v>
      </c>
      <c r="E174" s="29" t="n">
        <f aca="false">D174+E171</f>
        <v>3.13402559999999</v>
      </c>
      <c r="F174" s="29" t="n">
        <f aca="false">E174+F171</f>
        <v>50.8991359679999</v>
      </c>
      <c r="G174" s="29" t="n">
        <f aca="false">F174+G171</f>
        <v>105.76363616544</v>
      </c>
    </row>
    <row r="175" customFormat="false" ht="15" hidden="false" customHeight="false" outlineLevel="0" collapsed="false">
      <c r="A175" s="7" t="s">
        <v>161</v>
      </c>
      <c r="C175" s="29" t="n">
        <f aca="false">B172+C172</f>
        <v>-86.856</v>
      </c>
      <c r="D175" s="29" t="n">
        <f aca="false">C175+D172</f>
        <v>-96.66048</v>
      </c>
      <c r="E175" s="29" t="n">
        <f aca="false">D175+E172</f>
        <v>-104.1593184</v>
      </c>
      <c r="F175" s="29" t="n">
        <f aca="false">E175+F172</f>
        <v>-109.075363872</v>
      </c>
      <c r="G175" s="29" t="n">
        <f aca="false">F175+G172</f>
        <v>-111.10651198176</v>
      </c>
    </row>
    <row r="178" customFormat="false" ht="15" hidden="false" customHeight="false" outlineLevel="0" collapsed="false">
      <c r="A178" s="6" t="s">
        <v>172</v>
      </c>
      <c r="B178" s="6" t="s">
        <v>134</v>
      </c>
      <c r="C178" s="6" t="s">
        <v>135</v>
      </c>
      <c r="D178" s="6" t="s">
        <v>136</v>
      </c>
      <c r="E178" s="6" t="s">
        <v>137</v>
      </c>
      <c r="F178" s="6" t="s">
        <v>138</v>
      </c>
      <c r="G178" s="6" t="s">
        <v>139</v>
      </c>
      <c r="H178" s="13"/>
      <c r="I178" s="6" t="s">
        <v>106</v>
      </c>
      <c r="J178" s="6" t="s">
        <v>112</v>
      </c>
      <c r="K178" s="6" t="s">
        <v>113</v>
      </c>
    </row>
    <row r="179" customFormat="false" ht="15" hidden="false" customHeight="false" outlineLevel="0" collapsed="false">
      <c r="A179" s="7" t="s">
        <v>140</v>
      </c>
      <c r="C179" s="27" t="n">
        <f aca="false">Inputs!$D$5</f>
        <v>1</v>
      </c>
      <c r="D179" s="28" t="n">
        <f aca="false">C179*(1+Inputs!$D$6)</f>
        <v>1.08</v>
      </c>
      <c r="E179" s="28" t="n">
        <f aca="false">D179*(1+Inputs!$D$6)</f>
        <v>1.1664</v>
      </c>
      <c r="F179" s="28" t="n">
        <f aca="false">E179*(1+Inputs!$D$6)</f>
        <v>1.259712</v>
      </c>
      <c r="G179" s="28" t="n">
        <f aca="false">F179*(1+Inputs!$D$6)</f>
        <v>1.36048896</v>
      </c>
    </row>
    <row r="180" customFormat="false" ht="15" hidden="false" customHeight="false" outlineLevel="0" collapsed="false">
      <c r="A180" s="7" t="s">
        <v>141</v>
      </c>
      <c r="C180" s="29" t="n">
        <f aca="false">C179*Inputs!$C$12</f>
        <v>150</v>
      </c>
      <c r="D180" s="29" t="n">
        <f aca="false">D179*Inputs!$C$12</f>
        <v>162</v>
      </c>
      <c r="E180" s="29" t="n">
        <f aca="false">E179*Inputs!$C$12</f>
        <v>174.96</v>
      </c>
      <c r="F180" s="29" t="n">
        <f aca="false">F179*Inputs!$C$12</f>
        <v>188.9568</v>
      </c>
      <c r="G180" s="29" t="n">
        <f aca="false">G179*Inputs!$C$12</f>
        <v>204.073344</v>
      </c>
    </row>
    <row r="181" customFormat="false" ht="15" hidden="false" customHeight="false" outlineLevel="0" collapsed="false">
      <c r="A181" s="7" t="s">
        <v>142</v>
      </c>
      <c r="C181" s="29" t="n">
        <f aca="false">-C180*Inputs!$C$13</f>
        <v>-22.5</v>
      </c>
      <c r="D181" s="29" t="n">
        <f aca="false">-D180*Inputs!$C$13</f>
        <v>-24.3</v>
      </c>
      <c r="E181" s="29" t="n">
        <f aca="false">-E180*Inputs!$C$13</f>
        <v>-26.244</v>
      </c>
      <c r="F181" s="29" t="n">
        <f aca="false">-F180*Inputs!$C$13</f>
        <v>-28.34352</v>
      </c>
      <c r="G181" s="29" t="n">
        <f aca="false">-G180*Inputs!$C$13</f>
        <v>-30.6110016</v>
      </c>
    </row>
    <row r="182" customFormat="false" ht="15" hidden="false" customHeight="false" outlineLevel="0" collapsed="false">
      <c r="A182" s="7" t="s">
        <v>143</v>
      </c>
      <c r="C182" s="29" t="n">
        <f aca="false">C180+C181</f>
        <v>127.5</v>
      </c>
      <c r="D182" s="29" t="n">
        <f aca="false">D180+D181</f>
        <v>137.7</v>
      </c>
      <c r="E182" s="29" t="n">
        <f aca="false">E180+E181</f>
        <v>148.716</v>
      </c>
      <c r="F182" s="29" t="n">
        <f aca="false">F180+F181</f>
        <v>160.61328</v>
      </c>
      <c r="G182" s="29" t="n">
        <f aca="false">G180+G181</f>
        <v>173.4623424</v>
      </c>
    </row>
    <row r="183" customFormat="false" ht="15" hidden="false" customHeight="false" outlineLevel="0" collapsed="false">
      <c r="A183" s="7" t="s">
        <v>144</v>
      </c>
      <c r="C183" s="30" t="n">
        <f aca="false">Inputs!$D$7</f>
        <v>150</v>
      </c>
      <c r="D183" s="31" t="n">
        <f aca="false">C183*(1+Inputs!$D$6)</f>
        <v>162</v>
      </c>
      <c r="E183" s="31" t="n">
        <f aca="false">D183*(1+Inputs!$D$6)</f>
        <v>174.96</v>
      </c>
      <c r="F183" s="31" t="n">
        <f aca="false">E183*(1+Inputs!$D$6)</f>
        <v>188.9568</v>
      </c>
      <c r="G183" s="31" t="n">
        <f aca="false">F183*(1+Inputs!$D$6)</f>
        <v>204.073344</v>
      </c>
    </row>
    <row r="184" customFormat="false" ht="15" hidden="false" customHeight="false" outlineLevel="0" collapsed="false">
      <c r="A184" s="7" t="s">
        <v>145</v>
      </c>
      <c r="C184" s="31" t="n">
        <f aca="false">C183*Inputs!$C$14*Inputs!$C$15</f>
        <v>3000</v>
      </c>
      <c r="D184" s="31" t="n">
        <f aca="false">D183*Inputs!$C$14*Inputs!$C$15</f>
        <v>3240</v>
      </c>
      <c r="E184" s="31" t="n">
        <f aca="false">E183*Inputs!$C$14*Inputs!$C$15</f>
        <v>3499.2</v>
      </c>
      <c r="F184" s="31" t="n">
        <f aca="false">F183*Inputs!$C$14*Inputs!$C$15</f>
        <v>3779.136</v>
      </c>
      <c r="G184" s="31" t="n">
        <f aca="false">G183*Inputs!$C$14*Inputs!$C$15</f>
        <v>4081.46688</v>
      </c>
    </row>
    <row r="185" customFormat="false" ht="15" hidden="false" customHeight="false" outlineLevel="0" collapsed="false">
      <c r="A185" s="7" t="s">
        <v>146</v>
      </c>
      <c r="C185" s="29" t="n">
        <f aca="false">C184*(Inputs!$D$8*(1+Inputs!$C$35))/1000*Inputs!$C$16</f>
        <v>122.4</v>
      </c>
      <c r="D185" s="29" t="n">
        <f aca="false">D184*(Inputs!$D$8*(1+Inputs!$C$35))/1000*Inputs!$C$16</f>
        <v>132.192</v>
      </c>
      <c r="E185" s="29" t="n">
        <f aca="false">E184*(Inputs!$D$8*(1+Inputs!$C$35))/1000*Inputs!$C$16</f>
        <v>142.76736</v>
      </c>
      <c r="F185" s="29" t="n">
        <f aca="false">F184*(Inputs!$D$8*(1+Inputs!$C$35))/1000*Inputs!$C$16</f>
        <v>154.1887488</v>
      </c>
      <c r="G185" s="29" t="n">
        <f aca="false">G184*(Inputs!$D$8*(1+Inputs!$C$35))/1000*Inputs!$C$16</f>
        <v>166.523848704</v>
      </c>
    </row>
    <row r="186" customFormat="false" ht="15" hidden="false" customHeight="false" outlineLevel="0" collapsed="false">
      <c r="A186" s="16" t="s">
        <v>147</v>
      </c>
      <c r="C186" s="32" t="n">
        <f aca="false">C182+C185</f>
        <v>249.9</v>
      </c>
      <c r="D186" s="32" t="n">
        <f aca="false">D182+D185</f>
        <v>269.892</v>
      </c>
      <c r="E186" s="32" t="n">
        <f aca="false">E182+E185</f>
        <v>291.48336</v>
      </c>
      <c r="F186" s="32" t="n">
        <f aca="false">F182+F185</f>
        <v>314.8020288</v>
      </c>
      <c r="G186" s="32" t="n">
        <f aca="false">G182+G185</f>
        <v>339.986191104</v>
      </c>
    </row>
    <row r="187" customFormat="false" ht="15" hidden="false" customHeight="false" outlineLevel="0" collapsed="false">
      <c r="A187" s="7" t="s">
        <v>148</v>
      </c>
      <c r="C187" s="29" t="n">
        <f aca="false">-C185*Inputs!$D$9</f>
        <v>-30.6</v>
      </c>
      <c r="D187" s="29" t="n">
        <f aca="false">-D185*Inputs!$D$9</f>
        <v>-33.048</v>
      </c>
      <c r="E187" s="29" t="n">
        <f aca="false">-E185*Inputs!$D$9</f>
        <v>-35.69184</v>
      </c>
      <c r="F187" s="29" t="n">
        <f aca="false">-F185*Inputs!$D$9</f>
        <v>-38.5471872</v>
      </c>
      <c r="G187" s="29" t="n">
        <f aca="false">-G185*Inputs!$D$9</f>
        <v>-41.630962176</v>
      </c>
    </row>
    <row r="188" customFormat="false" ht="15" hidden="false" customHeight="false" outlineLevel="0" collapsed="false">
      <c r="A188" s="16" t="s">
        <v>149</v>
      </c>
      <c r="C188" s="32" t="n">
        <f aca="false">C186+C187</f>
        <v>219.3</v>
      </c>
      <c r="D188" s="32" t="n">
        <f aca="false">D186+D187</f>
        <v>236.844</v>
      </c>
      <c r="E188" s="32" t="n">
        <f aca="false">E186+E187</f>
        <v>255.79152</v>
      </c>
      <c r="F188" s="32" t="n">
        <f aca="false">F186+F187</f>
        <v>276.2548416</v>
      </c>
      <c r="G188" s="32" t="n">
        <f aca="false">G186+G187</f>
        <v>298.355228928</v>
      </c>
    </row>
    <row r="189" customFormat="false" ht="15" hidden="false" customHeight="false" outlineLevel="0" collapsed="false">
      <c r="A189" s="7" t="s">
        <v>150</v>
      </c>
      <c r="C189" s="29" t="n">
        <f aca="false">-Inputs!$C$17*(1+Inputs!$C$18)^0</f>
        <v>-60</v>
      </c>
      <c r="D189" s="29" t="n">
        <f aca="false">-Inputs!$C$17*(1+Inputs!$C$18)^1</f>
        <v>-61.8</v>
      </c>
      <c r="E189" s="29" t="n">
        <f aca="false">-Inputs!$C$17*(1+Inputs!$C$18)^2</f>
        <v>-63.654</v>
      </c>
      <c r="F189" s="29" t="n">
        <f aca="false">-Inputs!$C$17*(1+Inputs!$C$18)^3</f>
        <v>-65.56362</v>
      </c>
      <c r="G189" s="29" t="n">
        <f aca="false">-Inputs!$C$17*(1+Inputs!$C$18)^4</f>
        <v>-67.5305286</v>
      </c>
    </row>
    <row r="190" customFormat="false" ht="15" hidden="false" customHeight="false" outlineLevel="0" collapsed="false">
      <c r="A190" s="7" t="s">
        <v>151</v>
      </c>
      <c r="C190" s="29" t="n">
        <f aca="false">-(C188*Inputs!$C$19+Inputs!$C$20)</f>
        <v>-67.544</v>
      </c>
      <c r="D190" s="29" t="n">
        <f aca="false">-(D188*Inputs!$C$19)</f>
        <v>-18.94752</v>
      </c>
      <c r="E190" s="29" t="n">
        <f aca="false">-(E188*Inputs!$C$19)</f>
        <v>-20.4633216</v>
      </c>
      <c r="F190" s="29" t="n">
        <f aca="false">-(F188*Inputs!$C$19)</f>
        <v>-22.100387328</v>
      </c>
      <c r="G190" s="29" t="n">
        <f aca="false">-(G188*Inputs!$C$19)</f>
        <v>-23.86841831424</v>
      </c>
    </row>
    <row r="191" customFormat="false" ht="15" hidden="false" customHeight="false" outlineLevel="0" collapsed="false">
      <c r="A191" s="16" t="s">
        <v>152</v>
      </c>
      <c r="C191" s="32" t="n">
        <f aca="false">C188+C189+C190</f>
        <v>91.756</v>
      </c>
      <c r="D191" s="32" t="n">
        <f aca="false">D188+D189+D190</f>
        <v>156.09648</v>
      </c>
      <c r="E191" s="32" t="n">
        <f aca="false">E188+E189+E190</f>
        <v>171.6741984</v>
      </c>
      <c r="F191" s="32" t="n">
        <f aca="false">F188+F189+F190</f>
        <v>188.590834272</v>
      </c>
      <c r="G191" s="32" t="n">
        <f aca="false">G188+G189+G190</f>
        <v>206.95628201376</v>
      </c>
    </row>
    <row r="192" customFormat="false" ht="15" hidden="false" customHeight="false" outlineLevel="0" collapsed="false">
      <c r="A192" s="7" t="s">
        <v>153</v>
      </c>
      <c r="C192" s="29" t="n">
        <f aca="false">-Inputs!$C$24*(1+Inputs!$C$25)^0</f>
        <v>-200</v>
      </c>
      <c r="D192" s="29" t="n">
        <f aca="false">-Inputs!$C$24*(1+Inputs!$C$25)^1</f>
        <v>-208</v>
      </c>
      <c r="E192" s="29" t="n">
        <f aca="false">-Inputs!$C$24*(1+Inputs!$C$25)^2</f>
        <v>-216.32</v>
      </c>
      <c r="F192" s="29" t="n">
        <f aca="false">-Inputs!$C$24*(1+Inputs!$C$25)^3</f>
        <v>-224.9728</v>
      </c>
      <c r="G192" s="29" t="n">
        <f aca="false">-Inputs!$C$24*(1+Inputs!$C$25)^4</f>
        <v>-233.971712</v>
      </c>
    </row>
    <row r="193" customFormat="false" ht="15" hidden="false" customHeight="false" outlineLevel="0" collapsed="false">
      <c r="A193" s="7" t="s">
        <v>154</v>
      </c>
      <c r="C193" s="29" t="n">
        <f aca="false">-MAX(Inputs!$C$26,Inputs!$C$27*C186)</f>
        <v>-100</v>
      </c>
      <c r="D193" s="29" t="n">
        <f aca="false">-MAX(Inputs!$C$26,Inputs!$C$27*D186)</f>
        <v>-107.9568</v>
      </c>
      <c r="E193" s="29" t="n">
        <f aca="false">-MAX(Inputs!$C$26,Inputs!$C$27*E186)</f>
        <v>-116.593344</v>
      </c>
      <c r="F193" s="29" t="n">
        <f aca="false">-MAX(Inputs!$C$26,Inputs!$C$27*F186)</f>
        <v>-125.92081152</v>
      </c>
      <c r="G193" s="29" t="n">
        <f aca="false">-MAX(Inputs!$C$26,Inputs!$C$27*G186)</f>
        <v>-135.9944764416</v>
      </c>
    </row>
    <row r="194" customFormat="false" ht="15" hidden="false" customHeight="false" outlineLevel="0" collapsed="false">
      <c r="A194" s="7" t="s">
        <v>155</v>
      </c>
      <c r="C194" s="29" t="n">
        <f aca="false">-Inputs!$C$28*C186</f>
        <v>-149.94</v>
      </c>
      <c r="D194" s="29" t="n">
        <f aca="false">-Inputs!$C$28*D186</f>
        <v>-161.9352</v>
      </c>
      <c r="E194" s="29" t="n">
        <f aca="false">-Inputs!$C$28*E186</f>
        <v>-174.890016</v>
      </c>
      <c r="F194" s="29" t="n">
        <f aca="false">-Inputs!$C$28*F186</f>
        <v>-188.88121728</v>
      </c>
      <c r="G194" s="29" t="n">
        <f aca="false">-Inputs!$C$28*G186</f>
        <v>-203.9917146624</v>
      </c>
    </row>
    <row r="195" customFormat="false" ht="15" hidden="false" customHeight="false" outlineLevel="0" collapsed="false">
      <c r="A195" s="16" t="s">
        <v>156</v>
      </c>
      <c r="B195" s="32" t="n">
        <f aca="false">-Inputs!$C$29</f>
        <v>-25</v>
      </c>
      <c r="C195" s="32" t="n">
        <f aca="false">C191+C192</f>
        <v>-108.244</v>
      </c>
      <c r="D195" s="32" t="n">
        <f aca="false">D191+D192</f>
        <v>-51.90352</v>
      </c>
      <c r="E195" s="32" t="n">
        <f aca="false">E191+E192</f>
        <v>-44.6458016</v>
      </c>
      <c r="F195" s="32" t="n">
        <f aca="false">F191+F192</f>
        <v>-36.381965728</v>
      </c>
      <c r="G195" s="32" t="n">
        <f aca="false">G191+G192</f>
        <v>-27.01542998624</v>
      </c>
      <c r="I195" s="18" t="n">
        <f aca="false">B195+NPV(Inputs!$C$21,C195:G195)</f>
        <v>-241.465987633135</v>
      </c>
      <c r="J195" s="15" t="str">
        <f aca="false">IFERROR(IRR(B195:G195),"n/a")</f>
        <v>n/a</v>
      </c>
      <c r="K195" s="7" t="str">
        <f aca="false">IF(COUNTIF(C198:G198,"&lt;0")&gt;=5,"Beyond Y5","Year "&amp;(COUNTIF(C198:G198,"&lt;0")+1))</f>
        <v>Beyond Y5</v>
      </c>
    </row>
    <row r="196" customFormat="false" ht="15" hidden="false" customHeight="false" outlineLevel="0" collapsed="false">
      <c r="A196" s="16" t="s">
        <v>157</v>
      </c>
      <c r="B196" s="32" t="n">
        <f aca="false">-Inputs!$C$29</f>
        <v>-25</v>
      </c>
      <c r="C196" s="32" t="n">
        <f aca="false">C191+C193</f>
        <v>-8.24400000000001</v>
      </c>
      <c r="D196" s="32" t="n">
        <f aca="false">D191+D193</f>
        <v>48.13968</v>
      </c>
      <c r="E196" s="32" t="n">
        <f aca="false">E191+E193</f>
        <v>55.0808544</v>
      </c>
      <c r="F196" s="32" t="n">
        <f aca="false">F191+F193</f>
        <v>62.670022752</v>
      </c>
      <c r="G196" s="32" t="n">
        <f aca="false">G191+G193</f>
        <v>70.96180557216</v>
      </c>
      <c r="I196" s="18" t="n">
        <f aca="false">B196+NPV(Inputs!$C$21,C196:G196)</f>
        <v>135.539542196795</v>
      </c>
      <c r="J196" s="15" t="n">
        <f aca="false">IFERROR(IRR(B196:G196),"n/a")</f>
        <v>0.892963613218886</v>
      </c>
      <c r="K196" s="7" t="str">
        <f aca="false">IF(COUNTIF(C199:G199,"&lt;0")&gt;=5,"Beyond Y5","Year "&amp;(COUNTIF(C199:G199,"&lt;0")+1))</f>
        <v>Year 2</v>
      </c>
    </row>
    <row r="197" customFormat="false" ht="15" hidden="false" customHeight="false" outlineLevel="0" collapsed="false">
      <c r="A197" s="16" t="s">
        <v>158</v>
      </c>
      <c r="B197" s="32" t="n">
        <f aca="false">-Inputs!$C$29</f>
        <v>-25</v>
      </c>
      <c r="C197" s="32" t="n">
        <f aca="false">C191+C194</f>
        <v>-58.184</v>
      </c>
      <c r="D197" s="32" t="n">
        <f aca="false">D191+D194</f>
        <v>-5.83872</v>
      </c>
      <c r="E197" s="32" t="n">
        <f aca="false">E191+E194</f>
        <v>-3.21581760000001</v>
      </c>
      <c r="F197" s="32" t="n">
        <f aca="false">F191+F194</f>
        <v>-0.290383008000021</v>
      </c>
      <c r="G197" s="32" t="n">
        <f aca="false">G191+G194</f>
        <v>2.96456735135999</v>
      </c>
      <c r="I197" s="18" t="n">
        <f aca="false">B197+NPV(Inputs!$C$21,C197:G197)</f>
        <v>-83.4935976637463</v>
      </c>
      <c r="J197" s="15" t="str">
        <f aca="false">IFERROR(IRR(B197:G197),"n/a")</f>
        <v>n/a</v>
      </c>
      <c r="K197" s="7" t="str">
        <f aca="false">IF(COUNTIF(C200:G200,"&lt;0")&gt;=5,"Beyond Y5","Year "&amp;(COUNTIF(C200:G200,"&lt;0")+1))</f>
        <v>Beyond Y5</v>
      </c>
    </row>
    <row r="198" customFormat="false" ht="15" hidden="false" customHeight="false" outlineLevel="0" collapsed="false">
      <c r="A198" s="7" t="s">
        <v>159</v>
      </c>
      <c r="C198" s="29" t="n">
        <f aca="false">B195+C195</f>
        <v>-133.244</v>
      </c>
      <c r="D198" s="29" t="n">
        <f aca="false">C198+D195</f>
        <v>-185.14752</v>
      </c>
      <c r="E198" s="29" t="n">
        <f aca="false">D198+E195</f>
        <v>-229.7933216</v>
      </c>
      <c r="F198" s="29" t="n">
        <f aca="false">E198+F195</f>
        <v>-266.175287328</v>
      </c>
      <c r="G198" s="29" t="n">
        <f aca="false">F198+G195</f>
        <v>-293.19071731424</v>
      </c>
    </row>
    <row r="199" customFormat="false" ht="15" hidden="false" customHeight="false" outlineLevel="0" collapsed="false">
      <c r="A199" s="7" t="s">
        <v>160</v>
      </c>
      <c r="C199" s="29" t="n">
        <f aca="false">B196+C196</f>
        <v>-33.244</v>
      </c>
      <c r="D199" s="29" t="n">
        <f aca="false">C199+D196</f>
        <v>14.89568</v>
      </c>
      <c r="E199" s="29" t="n">
        <f aca="false">D199+E196</f>
        <v>69.9765344</v>
      </c>
      <c r="F199" s="29" t="n">
        <f aca="false">E199+F196</f>
        <v>132.646557152</v>
      </c>
      <c r="G199" s="29" t="n">
        <f aca="false">F199+G196</f>
        <v>203.60836272416</v>
      </c>
    </row>
    <row r="200" customFormat="false" ht="15" hidden="false" customHeight="false" outlineLevel="0" collapsed="false">
      <c r="A200" s="7" t="s">
        <v>161</v>
      </c>
      <c r="C200" s="29" t="n">
        <f aca="false">B197+C197</f>
        <v>-83.184</v>
      </c>
      <c r="D200" s="29" t="n">
        <f aca="false">C200+D197</f>
        <v>-89.02272</v>
      </c>
      <c r="E200" s="29" t="n">
        <f aca="false">D200+E197</f>
        <v>-92.2385376</v>
      </c>
      <c r="F200" s="29" t="n">
        <f aca="false">E200+F197</f>
        <v>-92.528920608</v>
      </c>
      <c r="G200" s="29" t="n">
        <f aca="false">F200+G197</f>
        <v>-89.56435325664</v>
      </c>
    </row>
    <row r="203" customFormat="false" ht="15" hidden="false" customHeight="false" outlineLevel="0" collapsed="false">
      <c r="A203" s="6" t="s">
        <v>173</v>
      </c>
      <c r="B203" s="6" t="s">
        <v>134</v>
      </c>
      <c r="C203" s="6" t="s">
        <v>135</v>
      </c>
      <c r="D203" s="6" t="s">
        <v>136</v>
      </c>
      <c r="E203" s="6" t="s">
        <v>137</v>
      </c>
      <c r="F203" s="6" t="s">
        <v>138</v>
      </c>
      <c r="G203" s="6" t="s">
        <v>139</v>
      </c>
      <c r="H203" s="13"/>
      <c r="I203" s="6" t="s">
        <v>106</v>
      </c>
      <c r="J203" s="6" t="s">
        <v>112</v>
      </c>
      <c r="K203" s="6" t="s">
        <v>113</v>
      </c>
    </row>
    <row r="204" customFormat="false" ht="15" hidden="false" customHeight="false" outlineLevel="0" collapsed="false">
      <c r="A204" s="7" t="s">
        <v>140</v>
      </c>
      <c r="C204" s="27" t="n">
        <f aca="false">Inputs!$D$5</f>
        <v>1</v>
      </c>
      <c r="D204" s="28" t="n">
        <f aca="false">C204*(1+Inputs!$D$6)</f>
        <v>1.08</v>
      </c>
      <c r="E204" s="28" t="n">
        <f aca="false">D204*(1+Inputs!$D$6)</f>
        <v>1.1664</v>
      </c>
      <c r="F204" s="28" t="n">
        <f aca="false">E204*(1+Inputs!$D$6)</f>
        <v>1.259712</v>
      </c>
      <c r="G204" s="28" t="n">
        <f aca="false">F204*(1+Inputs!$D$6)</f>
        <v>1.36048896</v>
      </c>
    </row>
    <row r="205" customFormat="false" ht="15" hidden="false" customHeight="false" outlineLevel="0" collapsed="false">
      <c r="A205" s="7" t="s">
        <v>141</v>
      </c>
      <c r="C205" s="29" t="n">
        <f aca="false">C204*Inputs!$C$12</f>
        <v>150</v>
      </c>
      <c r="D205" s="29" t="n">
        <f aca="false">D204*Inputs!$C$12</f>
        <v>162</v>
      </c>
      <c r="E205" s="29" t="n">
        <f aca="false">E204*Inputs!$C$12</f>
        <v>174.96</v>
      </c>
      <c r="F205" s="29" t="n">
        <f aca="false">F204*Inputs!$C$12</f>
        <v>188.9568</v>
      </c>
      <c r="G205" s="29" t="n">
        <f aca="false">G204*Inputs!$C$12</f>
        <v>204.073344</v>
      </c>
    </row>
    <row r="206" customFormat="false" ht="15" hidden="false" customHeight="false" outlineLevel="0" collapsed="false">
      <c r="A206" s="7" t="s">
        <v>142</v>
      </c>
      <c r="C206" s="29" t="n">
        <f aca="false">-C205*Inputs!$C$13</f>
        <v>-22.5</v>
      </c>
      <c r="D206" s="29" t="n">
        <f aca="false">-D205*Inputs!$C$13</f>
        <v>-24.3</v>
      </c>
      <c r="E206" s="29" t="n">
        <f aca="false">-E205*Inputs!$C$13</f>
        <v>-26.244</v>
      </c>
      <c r="F206" s="29" t="n">
        <f aca="false">-F205*Inputs!$C$13</f>
        <v>-28.34352</v>
      </c>
      <c r="G206" s="29" t="n">
        <f aca="false">-G205*Inputs!$C$13</f>
        <v>-30.6110016</v>
      </c>
    </row>
    <row r="207" customFormat="false" ht="15" hidden="false" customHeight="false" outlineLevel="0" collapsed="false">
      <c r="A207" s="7" t="s">
        <v>143</v>
      </c>
      <c r="C207" s="29" t="n">
        <f aca="false">C205+C206</f>
        <v>127.5</v>
      </c>
      <c r="D207" s="29" t="n">
        <f aca="false">D205+D206</f>
        <v>137.7</v>
      </c>
      <c r="E207" s="29" t="n">
        <f aca="false">E205+E206</f>
        <v>148.716</v>
      </c>
      <c r="F207" s="29" t="n">
        <f aca="false">F205+F206</f>
        <v>160.61328</v>
      </c>
      <c r="G207" s="29" t="n">
        <f aca="false">G205+G206</f>
        <v>173.4623424</v>
      </c>
    </row>
    <row r="208" customFormat="false" ht="15" hidden="false" customHeight="false" outlineLevel="0" collapsed="false">
      <c r="A208" s="7" t="s">
        <v>144</v>
      </c>
      <c r="C208" s="30" t="n">
        <f aca="false">Inputs!$D$7</f>
        <v>150</v>
      </c>
      <c r="D208" s="31" t="n">
        <f aca="false">C208*(1+Inputs!$D$6)</f>
        <v>162</v>
      </c>
      <c r="E208" s="31" t="n">
        <f aca="false">D208*(1+Inputs!$D$6)</f>
        <v>174.96</v>
      </c>
      <c r="F208" s="31" t="n">
        <f aca="false">E208*(1+Inputs!$D$6)</f>
        <v>188.9568</v>
      </c>
      <c r="G208" s="31" t="n">
        <f aca="false">F208*(1+Inputs!$D$6)</f>
        <v>204.073344</v>
      </c>
    </row>
    <row r="209" customFormat="false" ht="15" hidden="false" customHeight="false" outlineLevel="0" collapsed="false">
      <c r="A209" s="7" t="s">
        <v>145</v>
      </c>
      <c r="C209" s="31" t="n">
        <f aca="false">C208*Inputs!$C$14*Inputs!$C$15</f>
        <v>3000</v>
      </c>
      <c r="D209" s="31" t="n">
        <f aca="false">D208*Inputs!$C$14*Inputs!$C$15</f>
        <v>3240</v>
      </c>
      <c r="E209" s="31" t="n">
        <f aca="false">E208*Inputs!$C$14*Inputs!$C$15</f>
        <v>3499.2</v>
      </c>
      <c r="F209" s="31" t="n">
        <f aca="false">F208*Inputs!$C$14*Inputs!$C$15</f>
        <v>3779.136</v>
      </c>
      <c r="G209" s="31" t="n">
        <f aca="false">G208*Inputs!$C$14*Inputs!$C$15</f>
        <v>4081.46688</v>
      </c>
    </row>
    <row r="210" customFormat="false" ht="15" hidden="false" customHeight="false" outlineLevel="0" collapsed="false">
      <c r="A210" s="7" t="s">
        <v>146</v>
      </c>
      <c r="C210" s="29" t="n">
        <f aca="false">C209*Inputs!$D$8/1000*Inputs!$C$16</f>
        <v>102</v>
      </c>
      <c r="D210" s="29" t="n">
        <f aca="false">D209*Inputs!$D$8/1000*Inputs!$C$16</f>
        <v>110.16</v>
      </c>
      <c r="E210" s="29" t="n">
        <f aca="false">E209*Inputs!$D$8/1000*Inputs!$C$16</f>
        <v>118.9728</v>
      </c>
      <c r="F210" s="29" t="n">
        <f aca="false">F209*Inputs!$D$8/1000*Inputs!$C$16</f>
        <v>128.490624</v>
      </c>
      <c r="G210" s="29" t="n">
        <f aca="false">G209*Inputs!$D$8/1000*Inputs!$C$16</f>
        <v>138.76987392</v>
      </c>
    </row>
    <row r="211" customFormat="false" ht="15" hidden="false" customHeight="false" outlineLevel="0" collapsed="false">
      <c r="A211" s="16" t="s">
        <v>147</v>
      </c>
      <c r="C211" s="32" t="n">
        <f aca="false">C207+C210</f>
        <v>229.5</v>
      </c>
      <c r="D211" s="32" t="n">
        <f aca="false">D207+D210</f>
        <v>247.86</v>
      </c>
      <c r="E211" s="32" t="n">
        <f aca="false">E207+E210</f>
        <v>267.6888</v>
      </c>
      <c r="F211" s="32" t="n">
        <f aca="false">F207+F210</f>
        <v>289.103904</v>
      </c>
      <c r="G211" s="32" t="n">
        <f aca="false">G207+G210</f>
        <v>312.23221632</v>
      </c>
    </row>
    <row r="212" customFormat="false" ht="15" hidden="false" customHeight="false" outlineLevel="0" collapsed="false">
      <c r="A212" s="7" t="s">
        <v>148</v>
      </c>
      <c r="C212" s="29" t="n">
        <f aca="false">-C210*(Inputs!$D$9*(1-Inputs!$C$35))</f>
        <v>-20.4</v>
      </c>
      <c r="D212" s="29" t="n">
        <f aca="false">-D210*(Inputs!$D$9*(1-Inputs!$C$35))</f>
        <v>-22.032</v>
      </c>
      <c r="E212" s="29" t="n">
        <f aca="false">-E210*(Inputs!$D$9*(1-Inputs!$C$35))</f>
        <v>-23.79456</v>
      </c>
      <c r="F212" s="29" t="n">
        <f aca="false">-F210*(Inputs!$D$9*(1-Inputs!$C$35))</f>
        <v>-25.6981248</v>
      </c>
      <c r="G212" s="29" t="n">
        <f aca="false">-G210*(Inputs!$D$9*(1-Inputs!$C$35))</f>
        <v>-27.753974784</v>
      </c>
    </row>
    <row r="213" customFormat="false" ht="15" hidden="false" customHeight="false" outlineLevel="0" collapsed="false">
      <c r="A213" s="16" t="s">
        <v>149</v>
      </c>
      <c r="C213" s="32" t="n">
        <f aca="false">C211+C212</f>
        <v>209.1</v>
      </c>
      <c r="D213" s="32" t="n">
        <f aca="false">D211+D212</f>
        <v>225.828</v>
      </c>
      <c r="E213" s="32" t="n">
        <f aca="false">E211+E212</f>
        <v>243.89424</v>
      </c>
      <c r="F213" s="32" t="n">
        <f aca="false">F211+F212</f>
        <v>263.4057792</v>
      </c>
      <c r="G213" s="32" t="n">
        <f aca="false">G211+G212</f>
        <v>284.478241536</v>
      </c>
    </row>
    <row r="214" customFormat="false" ht="15" hidden="false" customHeight="false" outlineLevel="0" collapsed="false">
      <c r="A214" s="7" t="s">
        <v>150</v>
      </c>
      <c r="C214" s="29" t="n">
        <f aca="false">-Inputs!$C$17*(1+Inputs!$C$18)^0</f>
        <v>-60</v>
      </c>
      <c r="D214" s="29" t="n">
        <f aca="false">-Inputs!$C$17*(1+Inputs!$C$18)^1</f>
        <v>-61.8</v>
      </c>
      <c r="E214" s="29" t="n">
        <f aca="false">-Inputs!$C$17*(1+Inputs!$C$18)^2</f>
        <v>-63.654</v>
      </c>
      <c r="F214" s="29" t="n">
        <f aca="false">-Inputs!$C$17*(1+Inputs!$C$18)^3</f>
        <v>-65.56362</v>
      </c>
      <c r="G214" s="29" t="n">
        <f aca="false">-Inputs!$C$17*(1+Inputs!$C$18)^4</f>
        <v>-67.5305286</v>
      </c>
    </row>
    <row r="215" customFormat="false" ht="15" hidden="false" customHeight="false" outlineLevel="0" collapsed="false">
      <c r="A215" s="7" t="s">
        <v>151</v>
      </c>
      <c r="C215" s="29" t="n">
        <f aca="false">-(C213*Inputs!$C$19+Inputs!$C$20)</f>
        <v>-66.728</v>
      </c>
      <c r="D215" s="29" t="n">
        <f aca="false">-(D213*Inputs!$C$19)</f>
        <v>-18.06624</v>
      </c>
      <c r="E215" s="29" t="n">
        <f aca="false">-(E213*Inputs!$C$19)</f>
        <v>-19.5115392</v>
      </c>
      <c r="F215" s="29" t="n">
        <f aca="false">-(F213*Inputs!$C$19)</f>
        <v>-21.072462336</v>
      </c>
      <c r="G215" s="29" t="n">
        <f aca="false">-(G213*Inputs!$C$19)</f>
        <v>-22.75825932288</v>
      </c>
    </row>
    <row r="216" customFormat="false" ht="15" hidden="false" customHeight="false" outlineLevel="0" collapsed="false">
      <c r="A216" s="16" t="s">
        <v>152</v>
      </c>
      <c r="C216" s="32" t="n">
        <f aca="false">C213+C214+C215</f>
        <v>82.372</v>
      </c>
      <c r="D216" s="32" t="n">
        <f aca="false">D213+D214+D215</f>
        <v>145.96176</v>
      </c>
      <c r="E216" s="32" t="n">
        <f aca="false">E213+E214+E215</f>
        <v>160.7287008</v>
      </c>
      <c r="F216" s="32" t="n">
        <f aca="false">F213+F214+F215</f>
        <v>176.769696864</v>
      </c>
      <c r="G216" s="32" t="n">
        <f aca="false">G213+G214+G215</f>
        <v>194.18945361312</v>
      </c>
    </row>
    <row r="217" customFormat="false" ht="15" hidden="false" customHeight="false" outlineLevel="0" collapsed="false">
      <c r="A217" s="7" t="s">
        <v>153</v>
      </c>
      <c r="C217" s="29" t="n">
        <f aca="false">-Inputs!$C$24*(1+Inputs!$C$25)^0</f>
        <v>-200</v>
      </c>
      <c r="D217" s="29" t="n">
        <f aca="false">-Inputs!$C$24*(1+Inputs!$C$25)^1</f>
        <v>-208</v>
      </c>
      <c r="E217" s="29" t="n">
        <f aca="false">-Inputs!$C$24*(1+Inputs!$C$25)^2</f>
        <v>-216.32</v>
      </c>
      <c r="F217" s="29" t="n">
        <f aca="false">-Inputs!$C$24*(1+Inputs!$C$25)^3</f>
        <v>-224.9728</v>
      </c>
      <c r="G217" s="29" t="n">
        <f aca="false">-Inputs!$C$24*(1+Inputs!$C$25)^4</f>
        <v>-233.971712</v>
      </c>
    </row>
    <row r="218" customFormat="false" ht="15" hidden="false" customHeight="false" outlineLevel="0" collapsed="false">
      <c r="A218" s="7" t="s">
        <v>154</v>
      </c>
      <c r="C218" s="29" t="n">
        <f aca="false">-MAX(Inputs!$C$26,Inputs!$C$27*C211)</f>
        <v>-100</v>
      </c>
      <c r="D218" s="29" t="n">
        <f aca="false">-MAX(Inputs!$C$26,Inputs!$C$27*D211)</f>
        <v>-100</v>
      </c>
      <c r="E218" s="29" t="n">
        <f aca="false">-MAX(Inputs!$C$26,Inputs!$C$27*E211)</f>
        <v>-107.07552</v>
      </c>
      <c r="F218" s="29" t="n">
        <f aca="false">-MAX(Inputs!$C$26,Inputs!$C$27*F211)</f>
        <v>-115.6415616</v>
      </c>
      <c r="G218" s="29" t="n">
        <f aca="false">-MAX(Inputs!$C$26,Inputs!$C$27*G211)</f>
        <v>-124.892886528</v>
      </c>
    </row>
    <row r="219" customFormat="false" ht="15" hidden="false" customHeight="false" outlineLevel="0" collapsed="false">
      <c r="A219" s="7" t="s">
        <v>155</v>
      </c>
      <c r="C219" s="29" t="n">
        <f aca="false">-Inputs!$C$28*C211</f>
        <v>-137.7</v>
      </c>
      <c r="D219" s="29" t="n">
        <f aca="false">-Inputs!$C$28*D211</f>
        <v>-148.716</v>
      </c>
      <c r="E219" s="29" t="n">
        <f aca="false">-Inputs!$C$28*E211</f>
        <v>-160.61328</v>
      </c>
      <c r="F219" s="29" t="n">
        <f aca="false">-Inputs!$C$28*F211</f>
        <v>-173.4623424</v>
      </c>
      <c r="G219" s="29" t="n">
        <f aca="false">-Inputs!$C$28*G211</f>
        <v>-187.339329792</v>
      </c>
    </row>
    <row r="220" customFormat="false" ht="15" hidden="false" customHeight="false" outlineLevel="0" collapsed="false">
      <c r="A220" s="16" t="s">
        <v>156</v>
      </c>
      <c r="B220" s="32" t="n">
        <f aca="false">-Inputs!$C$29</f>
        <v>-25</v>
      </c>
      <c r="C220" s="32" t="n">
        <f aca="false">C216+C217</f>
        <v>-117.628</v>
      </c>
      <c r="D220" s="32" t="n">
        <f aca="false">D216+D217</f>
        <v>-62.03824</v>
      </c>
      <c r="E220" s="32" t="n">
        <f aca="false">E216+E217</f>
        <v>-55.5912992</v>
      </c>
      <c r="F220" s="32" t="n">
        <f aca="false">F216+F217</f>
        <v>-48.203103136</v>
      </c>
      <c r="G220" s="32" t="n">
        <f aca="false">G216+G217</f>
        <v>-39.78225838688</v>
      </c>
      <c r="I220" s="18" t="n">
        <f aca="false">B220+NPV(Inputs!$C$21,C220:G220)</f>
        <v>-282.597404616227</v>
      </c>
      <c r="J220" s="15" t="str">
        <f aca="false">IFERROR(IRR(B220:G220),"n/a")</f>
        <v>n/a</v>
      </c>
      <c r="K220" s="7" t="str">
        <f aca="false">IF(COUNTIF(C223:G223,"&lt;0")&gt;=5,"Beyond Y5","Year "&amp;(COUNTIF(C223:G223,"&lt;0")+1))</f>
        <v>Beyond Y5</v>
      </c>
    </row>
    <row r="221" customFormat="false" ht="15" hidden="false" customHeight="false" outlineLevel="0" collapsed="false">
      <c r="A221" s="16" t="s">
        <v>157</v>
      </c>
      <c r="B221" s="32" t="n">
        <f aca="false">-Inputs!$C$29</f>
        <v>-25</v>
      </c>
      <c r="C221" s="32" t="n">
        <f aca="false">C216+C218</f>
        <v>-17.628</v>
      </c>
      <c r="D221" s="32" t="n">
        <f aca="false">D216+D218</f>
        <v>45.96176</v>
      </c>
      <c r="E221" s="32" t="n">
        <f aca="false">E216+E218</f>
        <v>53.6531808</v>
      </c>
      <c r="F221" s="32" t="n">
        <f aca="false">F216+F218</f>
        <v>61.128135264</v>
      </c>
      <c r="G221" s="32" t="n">
        <f aca="false">G216+G218</f>
        <v>69.29656708512</v>
      </c>
      <c r="I221" s="18" t="n">
        <f aca="false">B221+NPV(Inputs!$C$21,C221:G221)</f>
        <v>122.048954929507</v>
      </c>
      <c r="J221" s="15" t="n">
        <f aca="false">IFERROR(IRR(B221:G221),"n/a")</f>
        <v>0.76255197884603</v>
      </c>
      <c r="K221" s="7" t="str">
        <f aca="false">IF(COUNTIF(C224:G224,"&lt;0")&gt;=5,"Beyond Y5","Year "&amp;(COUNTIF(C224:G224,"&lt;0")+1))</f>
        <v>Year 2</v>
      </c>
    </row>
    <row r="222" customFormat="false" ht="15" hidden="false" customHeight="false" outlineLevel="0" collapsed="false">
      <c r="A222" s="16" t="s">
        <v>158</v>
      </c>
      <c r="B222" s="32" t="n">
        <f aca="false">-Inputs!$C$29</f>
        <v>-25</v>
      </c>
      <c r="C222" s="32" t="n">
        <f aca="false">C216+C219</f>
        <v>-55.328</v>
      </c>
      <c r="D222" s="32" t="n">
        <f aca="false">D216+D219</f>
        <v>-2.75424000000001</v>
      </c>
      <c r="E222" s="32" t="n">
        <f aca="false">E216+E219</f>
        <v>0.11542080000001</v>
      </c>
      <c r="F222" s="32" t="n">
        <f aca="false">F216+F219</f>
        <v>3.30735446399999</v>
      </c>
      <c r="G222" s="32" t="n">
        <f aca="false">G216+G219</f>
        <v>6.85012382112001</v>
      </c>
      <c r="I222" s="18" t="n">
        <f aca="false">B222+NPV(Inputs!$C$21,C222:G222)</f>
        <v>-70.975340321066</v>
      </c>
      <c r="J222" s="15" t="str">
        <f aca="false">IFERROR(IRR(B222:G222),"n/a")</f>
        <v>n/a</v>
      </c>
      <c r="K222" s="7" t="str">
        <f aca="false">IF(COUNTIF(C225:G225,"&lt;0")&gt;=5,"Beyond Y5","Year "&amp;(COUNTIF(C225:G225,"&lt;0")+1))</f>
        <v>Beyond Y5</v>
      </c>
    </row>
    <row r="223" customFormat="false" ht="15" hidden="false" customHeight="false" outlineLevel="0" collapsed="false">
      <c r="A223" s="7" t="s">
        <v>159</v>
      </c>
      <c r="C223" s="29" t="n">
        <f aca="false">B220+C220</f>
        <v>-142.628</v>
      </c>
      <c r="D223" s="29" t="n">
        <f aca="false">C223+D220</f>
        <v>-204.66624</v>
      </c>
      <c r="E223" s="29" t="n">
        <f aca="false">D223+E220</f>
        <v>-260.2575392</v>
      </c>
      <c r="F223" s="29" t="n">
        <f aca="false">E223+F220</f>
        <v>-308.460642336</v>
      </c>
      <c r="G223" s="29" t="n">
        <f aca="false">F223+G220</f>
        <v>-348.24290072288</v>
      </c>
    </row>
    <row r="224" customFormat="false" ht="15" hidden="false" customHeight="false" outlineLevel="0" collapsed="false">
      <c r="A224" s="7" t="s">
        <v>160</v>
      </c>
      <c r="C224" s="29" t="n">
        <f aca="false">B221+C221</f>
        <v>-42.628</v>
      </c>
      <c r="D224" s="29" t="n">
        <f aca="false">C224+D221</f>
        <v>3.33375999999996</v>
      </c>
      <c r="E224" s="29" t="n">
        <f aca="false">D224+E221</f>
        <v>56.9869408</v>
      </c>
      <c r="F224" s="29" t="n">
        <f aca="false">E224+F221</f>
        <v>118.115076064</v>
      </c>
      <c r="G224" s="29" t="n">
        <f aca="false">F224+G221</f>
        <v>187.41164314912</v>
      </c>
    </row>
    <row r="225" customFormat="false" ht="15" hidden="false" customHeight="false" outlineLevel="0" collapsed="false">
      <c r="A225" s="7" t="s">
        <v>161</v>
      </c>
      <c r="C225" s="29" t="n">
        <f aca="false">B222+C222</f>
        <v>-80.328</v>
      </c>
      <c r="D225" s="29" t="n">
        <f aca="false">C225+D222</f>
        <v>-83.08224</v>
      </c>
      <c r="E225" s="29" t="n">
        <f aca="false">D225+E222</f>
        <v>-82.9668192</v>
      </c>
      <c r="F225" s="29" t="n">
        <f aca="false">E225+F222</f>
        <v>-79.659464736</v>
      </c>
      <c r="G225" s="29" t="n">
        <f aca="false">F225+G222</f>
        <v>-72.80934091488</v>
      </c>
    </row>
    <row r="228" customFormat="false" ht="15" hidden="false" customHeight="false" outlineLevel="0" collapsed="false">
      <c r="A228" s="6" t="s">
        <v>174</v>
      </c>
      <c r="B228" s="6" t="s">
        <v>134</v>
      </c>
      <c r="C228" s="6" t="s">
        <v>135</v>
      </c>
      <c r="D228" s="6" t="s">
        <v>136</v>
      </c>
      <c r="E228" s="6" t="s">
        <v>137</v>
      </c>
      <c r="F228" s="6" t="s">
        <v>138</v>
      </c>
      <c r="G228" s="6" t="s">
        <v>139</v>
      </c>
      <c r="H228" s="13"/>
      <c r="I228" s="6" t="s">
        <v>106</v>
      </c>
      <c r="J228" s="6" t="s">
        <v>112</v>
      </c>
      <c r="K228" s="6" t="s">
        <v>113</v>
      </c>
    </row>
    <row r="229" customFormat="false" ht="15" hidden="false" customHeight="false" outlineLevel="0" collapsed="false">
      <c r="A229" s="7" t="s">
        <v>140</v>
      </c>
      <c r="C229" s="27" t="n">
        <f aca="false">Inputs!$D$5</f>
        <v>1</v>
      </c>
      <c r="D229" s="28" t="n">
        <f aca="false">C229*(1+Inputs!$D$6)</f>
        <v>1.08</v>
      </c>
      <c r="E229" s="28" t="n">
        <f aca="false">D229*(1+Inputs!$D$6)</f>
        <v>1.1664</v>
      </c>
      <c r="F229" s="28" t="n">
        <f aca="false">E229*(1+Inputs!$D$6)</f>
        <v>1.259712</v>
      </c>
      <c r="G229" s="28" t="n">
        <f aca="false">F229*(1+Inputs!$D$6)</f>
        <v>1.36048896</v>
      </c>
    </row>
    <row r="230" customFormat="false" ht="15" hidden="false" customHeight="false" outlineLevel="0" collapsed="false">
      <c r="A230" s="7" t="s">
        <v>141</v>
      </c>
      <c r="C230" s="29" t="n">
        <f aca="false">C229*Inputs!$C$12</f>
        <v>150</v>
      </c>
      <c r="D230" s="29" t="n">
        <f aca="false">D229*Inputs!$C$12</f>
        <v>162</v>
      </c>
      <c r="E230" s="29" t="n">
        <f aca="false">E229*Inputs!$C$12</f>
        <v>174.96</v>
      </c>
      <c r="F230" s="29" t="n">
        <f aca="false">F229*Inputs!$C$12</f>
        <v>188.9568</v>
      </c>
      <c r="G230" s="29" t="n">
        <f aca="false">G229*Inputs!$C$12</f>
        <v>204.073344</v>
      </c>
    </row>
    <row r="231" customFormat="false" ht="15" hidden="false" customHeight="false" outlineLevel="0" collapsed="false">
      <c r="A231" s="7" t="s">
        <v>142</v>
      </c>
      <c r="C231" s="29" t="n">
        <f aca="false">-C230*Inputs!$C$13</f>
        <v>-22.5</v>
      </c>
      <c r="D231" s="29" t="n">
        <f aca="false">-D230*Inputs!$C$13</f>
        <v>-24.3</v>
      </c>
      <c r="E231" s="29" t="n">
        <f aca="false">-E230*Inputs!$C$13</f>
        <v>-26.244</v>
      </c>
      <c r="F231" s="29" t="n">
        <f aca="false">-F230*Inputs!$C$13</f>
        <v>-28.34352</v>
      </c>
      <c r="G231" s="29" t="n">
        <f aca="false">-G230*Inputs!$C$13</f>
        <v>-30.6110016</v>
      </c>
    </row>
    <row r="232" customFormat="false" ht="15" hidden="false" customHeight="false" outlineLevel="0" collapsed="false">
      <c r="A232" s="7" t="s">
        <v>143</v>
      </c>
      <c r="C232" s="29" t="n">
        <f aca="false">C230+C231</f>
        <v>127.5</v>
      </c>
      <c r="D232" s="29" t="n">
        <f aca="false">D230+D231</f>
        <v>137.7</v>
      </c>
      <c r="E232" s="29" t="n">
        <f aca="false">E230+E231</f>
        <v>148.716</v>
      </c>
      <c r="F232" s="29" t="n">
        <f aca="false">F230+F231</f>
        <v>160.61328</v>
      </c>
      <c r="G232" s="29" t="n">
        <f aca="false">G230+G231</f>
        <v>173.4623424</v>
      </c>
    </row>
    <row r="233" customFormat="false" ht="15" hidden="false" customHeight="false" outlineLevel="0" collapsed="false">
      <c r="A233" s="7" t="s">
        <v>144</v>
      </c>
      <c r="C233" s="30" t="n">
        <f aca="false">Inputs!$D$7</f>
        <v>150</v>
      </c>
      <c r="D233" s="31" t="n">
        <f aca="false">C233*(1+Inputs!$D$6)</f>
        <v>162</v>
      </c>
      <c r="E233" s="31" t="n">
        <f aca="false">D233*(1+Inputs!$D$6)</f>
        <v>174.96</v>
      </c>
      <c r="F233" s="31" t="n">
        <f aca="false">E233*(1+Inputs!$D$6)</f>
        <v>188.9568</v>
      </c>
      <c r="G233" s="31" t="n">
        <f aca="false">F233*(1+Inputs!$D$6)</f>
        <v>204.073344</v>
      </c>
    </row>
    <row r="234" customFormat="false" ht="15" hidden="false" customHeight="false" outlineLevel="0" collapsed="false">
      <c r="A234" s="7" t="s">
        <v>145</v>
      </c>
      <c r="C234" s="31" t="n">
        <f aca="false">C233*Inputs!$C$14*Inputs!$C$15</f>
        <v>3000</v>
      </c>
      <c r="D234" s="31" t="n">
        <f aca="false">D233*Inputs!$C$14*Inputs!$C$15</f>
        <v>3240</v>
      </c>
      <c r="E234" s="31" t="n">
        <f aca="false">E233*Inputs!$C$14*Inputs!$C$15</f>
        <v>3499.2</v>
      </c>
      <c r="F234" s="31" t="n">
        <f aca="false">F233*Inputs!$C$14*Inputs!$C$15</f>
        <v>3779.136</v>
      </c>
      <c r="G234" s="31" t="n">
        <f aca="false">G233*Inputs!$C$14*Inputs!$C$15</f>
        <v>4081.46688</v>
      </c>
    </row>
    <row r="235" customFormat="false" ht="15" hidden="false" customHeight="false" outlineLevel="0" collapsed="false">
      <c r="A235" s="7" t="s">
        <v>146</v>
      </c>
      <c r="C235" s="29" t="n">
        <f aca="false">C234*Inputs!$D$8/1000*Inputs!$C$16</f>
        <v>102</v>
      </c>
      <c r="D235" s="29" t="n">
        <f aca="false">D234*Inputs!$D$8/1000*Inputs!$C$16</f>
        <v>110.16</v>
      </c>
      <c r="E235" s="29" t="n">
        <f aca="false">E234*Inputs!$D$8/1000*Inputs!$C$16</f>
        <v>118.9728</v>
      </c>
      <c r="F235" s="29" t="n">
        <f aca="false">F234*Inputs!$D$8/1000*Inputs!$C$16</f>
        <v>128.490624</v>
      </c>
      <c r="G235" s="29" t="n">
        <f aca="false">G234*Inputs!$D$8/1000*Inputs!$C$16</f>
        <v>138.76987392</v>
      </c>
    </row>
    <row r="236" customFormat="false" ht="15" hidden="false" customHeight="false" outlineLevel="0" collapsed="false">
      <c r="A236" s="16" t="s">
        <v>147</v>
      </c>
      <c r="C236" s="32" t="n">
        <f aca="false">C232+C235</f>
        <v>229.5</v>
      </c>
      <c r="D236" s="32" t="n">
        <f aca="false">D232+D235</f>
        <v>247.86</v>
      </c>
      <c r="E236" s="32" t="n">
        <f aca="false">E232+E235</f>
        <v>267.6888</v>
      </c>
      <c r="F236" s="32" t="n">
        <f aca="false">F232+F235</f>
        <v>289.103904</v>
      </c>
      <c r="G236" s="32" t="n">
        <f aca="false">G232+G235</f>
        <v>312.23221632</v>
      </c>
    </row>
    <row r="237" customFormat="false" ht="15" hidden="false" customHeight="false" outlineLevel="0" collapsed="false">
      <c r="A237" s="7" t="s">
        <v>148</v>
      </c>
      <c r="C237" s="29" t="n">
        <f aca="false">-C235*(Inputs!$D$9*(1+Inputs!$C$35))</f>
        <v>-30.6</v>
      </c>
      <c r="D237" s="29" t="n">
        <f aca="false">-D235*(Inputs!$D$9*(1+Inputs!$C$35))</f>
        <v>-33.048</v>
      </c>
      <c r="E237" s="29" t="n">
        <f aca="false">-E235*(Inputs!$D$9*(1+Inputs!$C$35))</f>
        <v>-35.69184</v>
      </c>
      <c r="F237" s="29" t="n">
        <f aca="false">-F235*(Inputs!$D$9*(1+Inputs!$C$35))</f>
        <v>-38.5471872</v>
      </c>
      <c r="G237" s="29" t="n">
        <f aca="false">-G235*(Inputs!$D$9*(1+Inputs!$C$35))</f>
        <v>-41.630962176</v>
      </c>
    </row>
    <row r="238" customFormat="false" ht="15" hidden="false" customHeight="false" outlineLevel="0" collapsed="false">
      <c r="A238" s="16" t="s">
        <v>149</v>
      </c>
      <c r="C238" s="32" t="n">
        <f aca="false">C236+C237</f>
        <v>198.9</v>
      </c>
      <c r="D238" s="32" t="n">
        <f aca="false">D236+D237</f>
        <v>214.812</v>
      </c>
      <c r="E238" s="32" t="n">
        <f aca="false">E236+E237</f>
        <v>231.99696</v>
      </c>
      <c r="F238" s="32" t="n">
        <f aca="false">F236+F237</f>
        <v>250.5567168</v>
      </c>
      <c r="G238" s="32" t="n">
        <f aca="false">G236+G237</f>
        <v>270.601254144</v>
      </c>
    </row>
    <row r="239" customFormat="false" ht="15" hidden="false" customHeight="false" outlineLevel="0" collapsed="false">
      <c r="A239" s="7" t="s">
        <v>150</v>
      </c>
      <c r="C239" s="29" t="n">
        <f aca="false">-Inputs!$C$17*(1+Inputs!$C$18)^0</f>
        <v>-60</v>
      </c>
      <c r="D239" s="29" t="n">
        <f aca="false">-Inputs!$C$17*(1+Inputs!$C$18)^1</f>
        <v>-61.8</v>
      </c>
      <c r="E239" s="29" t="n">
        <f aca="false">-Inputs!$C$17*(1+Inputs!$C$18)^2</f>
        <v>-63.654</v>
      </c>
      <c r="F239" s="29" t="n">
        <f aca="false">-Inputs!$C$17*(1+Inputs!$C$18)^3</f>
        <v>-65.56362</v>
      </c>
      <c r="G239" s="29" t="n">
        <f aca="false">-Inputs!$C$17*(1+Inputs!$C$18)^4</f>
        <v>-67.5305286</v>
      </c>
    </row>
    <row r="240" customFormat="false" ht="15" hidden="false" customHeight="false" outlineLevel="0" collapsed="false">
      <c r="A240" s="7" t="s">
        <v>151</v>
      </c>
      <c r="C240" s="29" t="n">
        <f aca="false">-(C238*Inputs!$C$19+Inputs!$C$20)</f>
        <v>-65.912</v>
      </c>
      <c r="D240" s="29" t="n">
        <f aca="false">-(D238*Inputs!$C$19)</f>
        <v>-17.18496</v>
      </c>
      <c r="E240" s="29" t="n">
        <f aca="false">-(E238*Inputs!$C$19)</f>
        <v>-18.5597568</v>
      </c>
      <c r="F240" s="29" t="n">
        <f aca="false">-(F238*Inputs!$C$19)</f>
        <v>-20.044537344</v>
      </c>
      <c r="G240" s="29" t="n">
        <f aca="false">-(G238*Inputs!$C$19)</f>
        <v>-21.64810033152</v>
      </c>
    </row>
    <row r="241" customFormat="false" ht="15" hidden="false" customHeight="false" outlineLevel="0" collapsed="false">
      <c r="A241" s="16" t="s">
        <v>152</v>
      </c>
      <c r="C241" s="32" t="n">
        <f aca="false">C238+C239+C240</f>
        <v>72.988</v>
      </c>
      <c r="D241" s="32" t="n">
        <f aca="false">D238+D239+D240</f>
        <v>135.82704</v>
      </c>
      <c r="E241" s="32" t="n">
        <f aca="false">E238+E239+E240</f>
        <v>149.7832032</v>
      </c>
      <c r="F241" s="32" t="n">
        <f aca="false">F238+F239+F240</f>
        <v>164.948559456</v>
      </c>
      <c r="G241" s="32" t="n">
        <f aca="false">G238+G239+G240</f>
        <v>181.42262521248</v>
      </c>
    </row>
    <row r="242" customFormat="false" ht="15" hidden="false" customHeight="false" outlineLevel="0" collapsed="false">
      <c r="A242" s="7" t="s">
        <v>153</v>
      </c>
      <c r="C242" s="29" t="n">
        <f aca="false">-Inputs!$C$24*(1+Inputs!$C$25)^0</f>
        <v>-200</v>
      </c>
      <c r="D242" s="29" t="n">
        <f aca="false">-Inputs!$C$24*(1+Inputs!$C$25)^1</f>
        <v>-208</v>
      </c>
      <c r="E242" s="29" t="n">
        <f aca="false">-Inputs!$C$24*(1+Inputs!$C$25)^2</f>
        <v>-216.32</v>
      </c>
      <c r="F242" s="29" t="n">
        <f aca="false">-Inputs!$C$24*(1+Inputs!$C$25)^3</f>
        <v>-224.9728</v>
      </c>
      <c r="G242" s="29" t="n">
        <f aca="false">-Inputs!$C$24*(1+Inputs!$C$25)^4</f>
        <v>-233.971712</v>
      </c>
    </row>
    <row r="243" customFormat="false" ht="15" hidden="false" customHeight="false" outlineLevel="0" collapsed="false">
      <c r="A243" s="7" t="s">
        <v>154</v>
      </c>
      <c r="C243" s="29" t="n">
        <f aca="false">-MAX(Inputs!$C$26,Inputs!$C$27*C236)</f>
        <v>-100</v>
      </c>
      <c r="D243" s="29" t="n">
        <f aca="false">-MAX(Inputs!$C$26,Inputs!$C$27*D236)</f>
        <v>-100</v>
      </c>
      <c r="E243" s="29" t="n">
        <f aca="false">-MAX(Inputs!$C$26,Inputs!$C$27*E236)</f>
        <v>-107.07552</v>
      </c>
      <c r="F243" s="29" t="n">
        <f aca="false">-MAX(Inputs!$C$26,Inputs!$C$27*F236)</f>
        <v>-115.6415616</v>
      </c>
      <c r="G243" s="29" t="n">
        <f aca="false">-MAX(Inputs!$C$26,Inputs!$C$27*G236)</f>
        <v>-124.892886528</v>
      </c>
    </row>
    <row r="244" customFormat="false" ht="15" hidden="false" customHeight="false" outlineLevel="0" collapsed="false">
      <c r="A244" s="7" t="s">
        <v>155</v>
      </c>
      <c r="C244" s="29" t="n">
        <f aca="false">-Inputs!$C$28*C236</f>
        <v>-137.7</v>
      </c>
      <c r="D244" s="29" t="n">
        <f aca="false">-Inputs!$C$28*D236</f>
        <v>-148.716</v>
      </c>
      <c r="E244" s="29" t="n">
        <f aca="false">-Inputs!$C$28*E236</f>
        <v>-160.61328</v>
      </c>
      <c r="F244" s="29" t="n">
        <f aca="false">-Inputs!$C$28*F236</f>
        <v>-173.4623424</v>
      </c>
      <c r="G244" s="29" t="n">
        <f aca="false">-Inputs!$C$28*G236</f>
        <v>-187.339329792</v>
      </c>
    </row>
    <row r="245" customFormat="false" ht="15" hidden="false" customHeight="false" outlineLevel="0" collapsed="false">
      <c r="A245" s="16" t="s">
        <v>156</v>
      </c>
      <c r="B245" s="32" t="n">
        <f aca="false">-Inputs!$C$29</f>
        <v>-25</v>
      </c>
      <c r="C245" s="32" t="n">
        <f aca="false">C241+C242</f>
        <v>-127.012</v>
      </c>
      <c r="D245" s="32" t="n">
        <f aca="false">D241+D242</f>
        <v>-72.17296</v>
      </c>
      <c r="E245" s="32" t="n">
        <f aca="false">E241+E242</f>
        <v>-66.5367968</v>
      </c>
      <c r="F245" s="32" t="n">
        <f aca="false">F241+F242</f>
        <v>-60.024240544</v>
      </c>
      <c r="G245" s="32" t="n">
        <f aca="false">G241+G242</f>
        <v>-52.5490867875201</v>
      </c>
      <c r="I245" s="18" t="n">
        <f aca="false">B245+NPV(Inputs!$C$21,C245:G245)</f>
        <v>-323.72882159932</v>
      </c>
      <c r="J245" s="15" t="str">
        <f aca="false">IFERROR(IRR(B245:G245),"n/a")</f>
        <v>n/a</v>
      </c>
      <c r="K245" s="7" t="str">
        <f aca="false">IF(COUNTIF(C248:G248,"&lt;0")&gt;=5,"Beyond Y5","Year "&amp;(COUNTIF(C248:G248,"&lt;0")+1))</f>
        <v>Beyond Y5</v>
      </c>
    </row>
    <row r="246" customFormat="false" ht="15" hidden="false" customHeight="false" outlineLevel="0" collapsed="false">
      <c r="A246" s="16" t="s">
        <v>157</v>
      </c>
      <c r="B246" s="32" t="n">
        <f aca="false">-Inputs!$C$29</f>
        <v>-25</v>
      </c>
      <c r="C246" s="32" t="n">
        <f aca="false">C241+C243</f>
        <v>-27.012</v>
      </c>
      <c r="D246" s="32" t="n">
        <f aca="false">D241+D243</f>
        <v>35.82704</v>
      </c>
      <c r="E246" s="32" t="n">
        <f aca="false">E241+E243</f>
        <v>42.7076832</v>
      </c>
      <c r="F246" s="32" t="n">
        <f aca="false">F241+F243</f>
        <v>49.306997856</v>
      </c>
      <c r="G246" s="32" t="n">
        <f aca="false">G241+G243</f>
        <v>56.52973868448</v>
      </c>
      <c r="I246" s="18" t="n">
        <f aca="false">B246+NPV(Inputs!$C$21,C246:G246)</f>
        <v>80.9175379464144</v>
      </c>
      <c r="J246" s="15" t="n">
        <f aca="false">IFERROR(IRR(B246:G246),"n/a")</f>
        <v>0.534090960601277</v>
      </c>
      <c r="K246" s="7" t="str">
        <f aca="false">IF(COUNTIF(C249:G249,"&lt;0")&gt;=5,"Beyond Y5","Year "&amp;(COUNTIF(C249:G249,"&lt;0")+1))</f>
        <v>Year 3</v>
      </c>
    </row>
    <row r="247" customFormat="false" ht="15" hidden="false" customHeight="false" outlineLevel="0" collapsed="false">
      <c r="A247" s="16" t="s">
        <v>158</v>
      </c>
      <c r="B247" s="32" t="n">
        <f aca="false">-Inputs!$C$29</f>
        <v>-25</v>
      </c>
      <c r="C247" s="32" t="n">
        <f aca="false">C241+C244</f>
        <v>-64.712</v>
      </c>
      <c r="D247" s="32" t="n">
        <f aca="false">D241+D244</f>
        <v>-12.88896</v>
      </c>
      <c r="E247" s="32" t="n">
        <f aca="false">E241+E244</f>
        <v>-10.8300768</v>
      </c>
      <c r="F247" s="32" t="n">
        <f aca="false">F241+F244</f>
        <v>-8.51378294399999</v>
      </c>
      <c r="G247" s="32" t="n">
        <f aca="false">G241+G244</f>
        <v>-5.91670457952003</v>
      </c>
      <c r="I247" s="18" t="n">
        <f aca="false">B247+NPV(Inputs!$C$21,C247:G247)</f>
        <v>-112.106757304158</v>
      </c>
      <c r="J247" s="15" t="str">
        <f aca="false">IFERROR(IRR(B247:G247),"n/a")</f>
        <v>n/a</v>
      </c>
      <c r="K247" s="7" t="str">
        <f aca="false">IF(COUNTIF(C250:G250,"&lt;0")&gt;=5,"Beyond Y5","Year "&amp;(COUNTIF(C250:G250,"&lt;0")+1))</f>
        <v>Beyond Y5</v>
      </c>
    </row>
    <row r="248" customFormat="false" ht="15" hidden="false" customHeight="false" outlineLevel="0" collapsed="false">
      <c r="A248" s="7" t="s">
        <v>159</v>
      </c>
      <c r="C248" s="29" t="n">
        <f aca="false">B245+C245</f>
        <v>-152.012</v>
      </c>
      <c r="D248" s="29" t="n">
        <f aca="false">C248+D245</f>
        <v>-224.18496</v>
      </c>
      <c r="E248" s="29" t="n">
        <f aca="false">D248+E245</f>
        <v>-290.7217568</v>
      </c>
      <c r="F248" s="29" t="n">
        <f aca="false">E248+F245</f>
        <v>-350.745997344</v>
      </c>
      <c r="G248" s="29" t="n">
        <f aca="false">F248+G245</f>
        <v>-403.29508413152</v>
      </c>
    </row>
    <row r="249" customFormat="false" ht="15" hidden="false" customHeight="false" outlineLevel="0" collapsed="false">
      <c r="A249" s="7" t="s">
        <v>160</v>
      </c>
      <c r="C249" s="29" t="n">
        <f aca="false">B246+C246</f>
        <v>-52.012</v>
      </c>
      <c r="D249" s="29" t="n">
        <f aca="false">C249+D246</f>
        <v>-16.18496</v>
      </c>
      <c r="E249" s="29" t="n">
        <f aca="false">D249+E246</f>
        <v>26.5227232</v>
      </c>
      <c r="F249" s="29" t="n">
        <f aca="false">E249+F246</f>
        <v>75.829721056</v>
      </c>
      <c r="G249" s="29" t="n">
        <f aca="false">F249+G246</f>
        <v>132.35945974048</v>
      </c>
    </row>
    <row r="250" customFormat="false" ht="15" hidden="false" customHeight="false" outlineLevel="0" collapsed="false">
      <c r="A250" s="7" t="s">
        <v>161</v>
      </c>
      <c r="C250" s="29" t="n">
        <f aca="false">B247+C247</f>
        <v>-89.712</v>
      </c>
      <c r="D250" s="29" t="n">
        <f aca="false">C250+D247</f>
        <v>-102.60096</v>
      </c>
      <c r="E250" s="29" t="n">
        <f aca="false">D250+E247</f>
        <v>-113.4310368</v>
      </c>
      <c r="F250" s="29" t="n">
        <f aca="false">E250+F247</f>
        <v>-121.944819744</v>
      </c>
      <c r="G250" s="29" t="n">
        <f aca="false">F250+G247</f>
        <v>-127.86152432352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8" min="8" style="0" width="34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4" t="s">
        <v>175</v>
      </c>
    </row>
    <row r="2" customFormat="false" ht="27.75" hidden="false" customHeight="true" outlineLevel="0" collapsed="false">
      <c r="A2" s="33" t="s">
        <v>176</v>
      </c>
      <c r="B2" s="33"/>
      <c r="C2" s="33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3"/>
      <c r="B3" s="33"/>
      <c r="C3" s="33"/>
      <c r="D3" s="33"/>
      <c r="E3" s="33"/>
      <c r="F3" s="33"/>
      <c r="G3" s="33"/>
      <c r="H3" s="33"/>
      <c r="I3" s="33"/>
    </row>
    <row r="5" customFormat="false" ht="30" hidden="false" customHeight="true" outlineLevel="0" collapsed="false">
      <c r="A5" s="34" t="s">
        <v>177</v>
      </c>
      <c r="B5" s="34" t="s">
        <v>178</v>
      </c>
      <c r="C5" s="34" t="s">
        <v>179</v>
      </c>
      <c r="D5" s="34" t="s">
        <v>180</v>
      </c>
      <c r="E5" s="34" t="s">
        <v>181</v>
      </c>
      <c r="F5" s="34" t="s">
        <v>182</v>
      </c>
      <c r="G5" s="34" t="s">
        <v>183</v>
      </c>
      <c r="H5" s="34" t="s">
        <v>184</v>
      </c>
      <c r="I5" s="34" t="s">
        <v>185</v>
      </c>
    </row>
    <row r="6" customFormat="false" ht="15" hidden="false" customHeight="false" outlineLevel="0" collapsed="false">
      <c r="A6" s="7" t="s">
        <v>186</v>
      </c>
      <c r="B6" s="35" t="n">
        <f aca="false">Model!C39/4</f>
        <v>51</v>
      </c>
      <c r="C6" s="10" t="n">
        <v>0.02</v>
      </c>
      <c r="D6" s="25" t="n">
        <f aca="false">B6*(1+C6)</f>
        <v>52.02</v>
      </c>
      <c r="E6" s="25" t="n">
        <f aca="false">D6-B6</f>
        <v>1.02</v>
      </c>
      <c r="F6" s="15" t="n">
        <f aca="false">IF(B6=0,0,E6/B6)</f>
        <v>0.0200000000000001</v>
      </c>
      <c r="G6" s="7" t="str">
        <f aca="false">IF(ABS(F6)&gt;Inputs!$C$36,"FLAG","OK")</f>
        <v>OK</v>
      </c>
      <c r="H6" s="36"/>
      <c r="I6" s="7" t="str">
        <f aca="false">IF(G6="OK","On track",IF(H6="","Route to analyst review","Explained — driver documented"))</f>
        <v>On track</v>
      </c>
    </row>
    <row r="7" customFormat="false" ht="15" hidden="false" customHeight="false" outlineLevel="0" collapsed="false">
      <c r="A7" s="7" t="s">
        <v>187</v>
      </c>
      <c r="B7" s="35" t="n">
        <f aca="false">Model!C39/4</f>
        <v>51</v>
      </c>
      <c r="C7" s="10" t="n">
        <v>-0.04</v>
      </c>
      <c r="D7" s="25" t="n">
        <f aca="false">B7*(1+C7)</f>
        <v>48.96</v>
      </c>
      <c r="E7" s="25" t="n">
        <f aca="false">D7-B7</f>
        <v>-2.04</v>
      </c>
      <c r="F7" s="15" t="n">
        <f aca="false">IF(B7=0,0,E7/B7)</f>
        <v>-0.04</v>
      </c>
      <c r="G7" s="7" t="str">
        <f aca="false">IF(ABS(F7)&gt;Inputs!$C$36,"FLAG","OK")</f>
        <v>OK</v>
      </c>
      <c r="H7" s="36"/>
      <c r="I7" s="7" t="str">
        <f aca="false">IF(G7="OK","On track",IF(H7="","Route to analyst review","Explained — driver documented"))</f>
        <v>On track</v>
      </c>
    </row>
    <row r="8" customFormat="false" ht="15" hidden="false" customHeight="false" outlineLevel="0" collapsed="false">
      <c r="A8" s="7" t="s">
        <v>188</v>
      </c>
      <c r="B8" s="35" t="n">
        <f aca="false">Model!C39/4</f>
        <v>51</v>
      </c>
      <c r="C8" s="10" t="n">
        <v>-0.14</v>
      </c>
      <c r="D8" s="25" t="n">
        <f aca="false">B8*(1+C8)</f>
        <v>43.86</v>
      </c>
      <c r="E8" s="25" t="n">
        <f aca="false">D8-B8</f>
        <v>-7.14</v>
      </c>
      <c r="F8" s="15" t="n">
        <f aca="false">IF(B8=0,0,E8/B8)</f>
        <v>-0.14</v>
      </c>
      <c r="G8" s="7" t="str">
        <f aca="false">IF(ABS(F8)&gt;Inputs!$C$36,"FLAG","OK")</f>
        <v>FLAG</v>
      </c>
      <c r="H8" s="36" t="s">
        <v>189</v>
      </c>
      <c r="I8" s="7" t="str">
        <f aca="false">IF(G8="OK","On track",IF(H8="","Route to analyst review","Explained — driver documented"))</f>
        <v>Explained — driver documented</v>
      </c>
    </row>
    <row r="9" customFormat="false" ht="15" hidden="false" customHeight="false" outlineLevel="0" collapsed="false">
      <c r="A9" s="7" t="s">
        <v>190</v>
      </c>
      <c r="B9" s="35" t="n">
        <f aca="false">Model!C39/4</f>
        <v>51</v>
      </c>
      <c r="C9" s="10" t="n">
        <v>0.05</v>
      </c>
      <c r="D9" s="25" t="n">
        <f aca="false">B9*(1+C9)</f>
        <v>53.55</v>
      </c>
      <c r="E9" s="25" t="n">
        <f aca="false">D9-B9</f>
        <v>2.55</v>
      </c>
      <c r="F9" s="15" t="n">
        <f aca="false">IF(B9=0,0,E9/B9)</f>
        <v>0.0500000000000001</v>
      </c>
      <c r="G9" s="7" t="str">
        <f aca="false">IF(ABS(F9)&gt;Inputs!$C$36,"FLAG","OK")</f>
        <v>OK</v>
      </c>
      <c r="H9" s="36"/>
      <c r="I9" s="7" t="str">
        <f aca="false">IF(G9="OK","On track",IF(H9="","Route to analyst review","Explained — driver documented"))</f>
        <v>On track</v>
      </c>
    </row>
    <row r="10" customFormat="false" ht="15" hidden="false" customHeight="false" outlineLevel="0" collapsed="false">
      <c r="A10" s="7" t="s">
        <v>191</v>
      </c>
      <c r="B10" s="35" t="n">
        <f aca="false">Model!D39/4</f>
        <v>55.08</v>
      </c>
      <c r="C10" s="10" t="n">
        <v>0.12</v>
      </c>
      <c r="D10" s="25" t="n">
        <f aca="false">B10*(1+C10)</f>
        <v>61.6896</v>
      </c>
      <c r="E10" s="25" t="n">
        <f aca="false">D10-B10</f>
        <v>6.60960000000001</v>
      </c>
      <c r="F10" s="15" t="n">
        <f aca="false">IF(B10=0,0,E10/B10)</f>
        <v>0.12</v>
      </c>
      <c r="G10" s="7" t="str">
        <f aca="false">IF(ABS(F10)&gt;Inputs!$C$36,"FLAG","OK")</f>
        <v>FLAG</v>
      </c>
      <c r="H10" s="36"/>
      <c r="I10" s="7" t="str">
        <f aca="false">IF(G10="OK","On track",IF(H10="","Route to analyst review","Explained — driver documented"))</f>
        <v>Route to analyst review</v>
      </c>
    </row>
    <row r="11" customFormat="false" ht="15" hidden="false" customHeight="false" outlineLevel="0" collapsed="false">
      <c r="A11" s="7" t="s">
        <v>192</v>
      </c>
      <c r="B11" s="35" t="n">
        <f aca="false">Model!D39/4</f>
        <v>55.08</v>
      </c>
      <c r="C11" s="10" t="n">
        <v>-0.03</v>
      </c>
      <c r="D11" s="25" t="n">
        <f aca="false">B11*(1+C11)</f>
        <v>53.4276</v>
      </c>
      <c r="E11" s="25" t="n">
        <f aca="false">D11-B11</f>
        <v>-1.6524</v>
      </c>
      <c r="F11" s="15" t="n">
        <f aca="false">IF(B11=0,0,E11/B11)</f>
        <v>-0.03</v>
      </c>
      <c r="G11" s="7" t="str">
        <f aca="false">IF(ABS(F11)&gt;Inputs!$C$36,"FLAG","OK")</f>
        <v>OK</v>
      </c>
      <c r="H11" s="36"/>
      <c r="I11" s="7" t="str">
        <f aca="false">IF(G11="OK","On track",IF(H11="","Route to analyst review","Explained — driver documented"))</f>
        <v>On track</v>
      </c>
    </row>
    <row r="12" customFormat="false" ht="15" hidden="false" customHeight="false" outlineLevel="0" collapsed="false">
      <c r="A12" s="7" t="s">
        <v>193</v>
      </c>
      <c r="B12" s="35" t="n">
        <f aca="false">Model!D39/4</f>
        <v>55.08</v>
      </c>
      <c r="C12" s="10" t="n">
        <v>-0.18</v>
      </c>
      <c r="D12" s="25" t="n">
        <f aca="false">B12*(1+C12)</f>
        <v>45.1656</v>
      </c>
      <c r="E12" s="25" t="n">
        <f aca="false">D12-B12</f>
        <v>-9.91439999999999</v>
      </c>
      <c r="F12" s="15" t="n">
        <f aca="false">IF(B12=0,0,E12/B12)</f>
        <v>-0.18</v>
      </c>
      <c r="G12" s="7" t="str">
        <f aca="false">IF(ABS(F12)&gt;Inputs!$C$36,"FLAG","OK")</f>
        <v>FLAG</v>
      </c>
      <c r="H12" s="36"/>
      <c r="I12" s="7" t="str">
        <f aca="false">IF(G12="OK","On track",IF(H12="","Route to analyst review","Explained — driver documented"))</f>
        <v>Route to analyst review</v>
      </c>
    </row>
    <row r="13" customFormat="false" ht="15" hidden="false" customHeight="false" outlineLevel="0" collapsed="false">
      <c r="A13" s="7" t="s">
        <v>194</v>
      </c>
      <c r="B13" s="35" t="n">
        <f aca="false">Model!D39/4</f>
        <v>55.08</v>
      </c>
      <c r="C13" s="10" t="n">
        <v>0.01</v>
      </c>
      <c r="D13" s="25" t="n">
        <f aca="false">B13*(1+C13)</f>
        <v>55.6308</v>
      </c>
      <c r="E13" s="25" t="n">
        <f aca="false">D13-B13</f>
        <v>0.550800000000002</v>
      </c>
      <c r="F13" s="15" t="n">
        <f aca="false">IF(B13=0,0,E13/B13)</f>
        <v>0.01</v>
      </c>
      <c r="G13" s="7" t="str">
        <f aca="false">IF(ABS(F13)&gt;Inputs!$C$36,"FLAG","OK")</f>
        <v>OK</v>
      </c>
      <c r="H13" s="36"/>
      <c r="I13" s="7" t="str">
        <f aca="false">IF(G13="OK","On track",IF(H13="","Route to analyst review","Explained — driver documented"))</f>
        <v>On track</v>
      </c>
    </row>
    <row r="15" customFormat="false" ht="15" hidden="false" customHeight="false" outlineLevel="0" collapsed="false">
      <c r="A15" s="16" t="s">
        <v>195</v>
      </c>
      <c r="B15" s="37" t="n">
        <f aca="false">SUM(B6:B13)</f>
        <v>424.32</v>
      </c>
      <c r="D15" s="37" t="n">
        <f aca="false">SUM(D6:D13)</f>
        <v>414.3036</v>
      </c>
      <c r="E15" s="37" t="n">
        <f aca="false">SUM(E6:E13)</f>
        <v>-10.0164</v>
      </c>
      <c r="F15" s="15" t="n">
        <f aca="false">IF(B15=0,0,E15/B15)</f>
        <v>-0.0236057692307692</v>
      </c>
    </row>
    <row r="16" customFormat="false" ht="15" hidden="false" customHeight="false" outlineLevel="0" collapsed="false">
      <c r="A16" s="7" t="s">
        <v>196</v>
      </c>
      <c r="B16" s="7" t="n">
        <f aca="false">COUNTIF(G6:G13,"FLAG")</f>
        <v>3</v>
      </c>
    </row>
    <row r="17" customFormat="false" ht="15" hidden="false" customHeight="false" outlineLevel="0" collapsed="false">
      <c r="A17" s="7" t="s">
        <v>197</v>
      </c>
      <c r="B17" s="7" t="n">
        <f aca="false">COUNTIF(I6:I13,"Route to analyst review")</f>
        <v>2</v>
      </c>
    </row>
  </sheetData>
  <mergeCells count="1">
    <mergeCell ref="A2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198</v>
      </c>
    </row>
    <row r="2" customFormat="false" ht="15" hidden="false" customHeight="false" outlineLevel="0" collapsed="false">
      <c r="A2" s="5" t="s">
        <v>199</v>
      </c>
    </row>
    <row r="4" customFormat="false" ht="64.9" hidden="false" customHeight="false" outlineLevel="0" collapsed="false">
      <c r="A4" s="16" t="s">
        <v>200</v>
      </c>
      <c r="C4" s="9" t="s">
        <v>201</v>
      </c>
    </row>
    <row r="5" customFormat="false" ht="15" hidden="false" customHeight="false" outlineLevel="0" collapsed="false">
      <c r="A5" s="38" t="s">
        <v>202</v>
      </c>
      <c r="B5" s="39" t="str">
        <f aca="false">Scenarios!C7</f>
        <v>B: MG + revenue share</v>
      </c>
      <c r="C5" s="9"/>
    </row>
    <row r="6" customFormat="false" ht="15" hidden="false" customHeight="false" outlineLevel="0" collapsed="false">
      <c r="A6" s="38" t="s">
        <v>203</v>
      </c>
      <c r="B6" s="39" t="str">
        <f aca="false">Scenarios!E7</f>
        <v>B: MG + revenue share</v>
      </c>
      <c r="C6" s="9"/>
    </row>
    <row r="7" customFormat="false" ht="15" hidden="false" customHeight="false" outlineLevel="0" collapsed="false">
      <c r="A7" s="16" t="s">
        <v>204</v>
      </c>
      <c r="C7" s="9"/>
    </row>
    <row r="8" customFormat="false" ht="15" hidden="false" customHeight="false" outlineLevel="0" collapsed="false">
      <c r="A8" s="38" t="s">
        <v>205</v>
      </c>
      <c r="B8" s="17" t="n">
        <f aca="false">Scenarios!E4</f>
        <v>-192.888227564006</v>
      </c>
      <c r="C8" s="9"/>
    </row>
    <row r="9" customFormat="false" ht="15" hidden="false" customHeight="false" outlineLevel="0" collapsed="false">
      <c r="A9" s="38" t="s">
        <v>206</v>
      </c>
      <c r="B9" s="17" t="n">
        <f aca="false">Scenarios!E5</f>
        <v>122.331173058545</v>
      </c>
      <c r="C9" s="9"/>
    </row>
    <row r="10" customFormat="false" ht="15" hidden="false" customHeight="false" outlineLevel="0" collapsed="false">
      <c r="A10" s="38" t="s">
        <v>207</v>
      </c>
      <c r="B10" s="17" t="n">
        <f aca="false">Scenarios!E6</f>
        <v>-52.8613235017294</v>
      </c>
      <c r="C10" s="9"/>
    </row>
    <row r="11" customFormat="false" ht="15" hidden="false" customHeight="false" outlineLevel="0" collapsed="false">
      <c r="A11" s="38" t="s">
        <v>208</v>
      </c>
      <c r="B11" s="17" t="n">
        <f aca="false">Scenarios!C5</f>
        <v>101.483246437961</v>
      </c>
      <c r="C11" s="9"/>
    </row>
    <row r="12" customFormat="false" ht="39.55" hidden="false" customHeight="false" outlineLevel="0" collapsed="false">
      <c r="A12" s="38" t="s">
        <v>209</v>
      </c>
      <c r="B12" s="17" t="n">
        <f aca="false">Scenarios!B5</f>
        <v>-298.122064753536</v>
      </c>
      <c r="C12" s="9" t="s">
        <v>210</v>
      </c>
    </row>
    <row r="13" customFormat="false" ht="15" hidden="false" customHeight="false" outlineLevel="0" collapsed="false">
      <c r="A13" s="38" t="s">
        <v>211</v>
      </c>
      <c r="B13" s="39" t="str">
        <f aca="false">Scenarios!C16</f>
        <v>Year 3</v>
      </c>
      <c r="C13" s="9"/>
    </row>
    <row r="14" customFormat="false" ht="15" hidden="false" customHeight="false" outlineLevel="0" collapsed="false">
      <c r="A14" s="38" t="s">
        <v>212</v>
      </c>
      <c r="B14" s="27" t="n">
        <f aca="false">Sensitivity!B13</f>
        <v>0.722728036414582</v>
      </c>
      <c r="C14" s="9" t="s">
        <v>213</v>
      </c>
    </row>
    <row r="15" customFormat="false" ht="39.55" hidden="false" customHeight="false" outlineLevel="0" collapsed="false">
      <c r="A15" s="38" t="s">
        <v>214</v>
      </c>
      <c r="B15" s="39" t="str">
        <f aca="false">Sensitivity!B12</f>
        <v>Year-1 subscribers</v>
      </c>
      <c r="C15" s="9" t="s">
        <v>215</v>
      </c>
    </row>
    <row r="16" customFormat="false" ht="52.2" hidden="false" customHeight="false" outlineLevel="0" collapsed="false">
      <c r="A16" s="16" t="s">
        <v>216</v>
      </c>
      <c r="C16" s="9" t="s">
        <v>217</v>
      </c>
    </row>
    <row r="17" customFormat="false" ht="64.9" hidden="false" customHeight="false" outlineLevel="0" collapsed="false">
      <c r="A17" s="16" t="s">
        <v>218</v>
      </c>
      <c r="C17" s="9" t="s">
        <v>219</v>
      </c>
    </row>
    <row r="18" customFormat="false" ht="52.2" hidden="false" customHeight="false" outlineLevel="0" collapsed="false">
      <c r="A18" s="16" t="s">
        <v>220</v>
      </c>
      <c r="C18" s="9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2026-09-23T21:10:47Z</dcterms:created>
  <dc:creator>openpyxl</dc:creator>
  <dc:description/>
  <dc:language>en-US</dc:language>
  <cp:lastModifiedBy/>
  <dcterms:modified xsi:type="dcterms:W3CDTF">2026-09-23T21:10:49Z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